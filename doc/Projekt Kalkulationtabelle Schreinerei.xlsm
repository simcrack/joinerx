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Linda\Schreinerei\jürg tabelle\"/>
    </mc:Choice>
  </mc:AlternateContent>
  <bookViews>
    <workbookView xWindow="396" yWindow="96" windowWidth="11100" windowHeight="6768" tabRatio="622" activeTab="4" xr2:uid="{00000000-000D-0000-FFFF-FFFF00000000}"/>
  </bookViews>
  <sheets>
    <sheet name="Berechnung Preise" sheetId="1" r:id="rId1"/>
    <sheet name="Komponente Innenschrank" sheetId="4" r:id="rId2"/>
    <sheet name="Komponente Schrank " sheetId="5" r:id="rId3"/>
    <sheet name="1 Schrank Bestellung" sheetId="2" r:id="rId4"/>
    <sheet name="mat" sheetId="3" r:id="rId5"/>
  </sheets>
  <definedNames>
    <definedName name="MaterialInnenschrank">mat!#REF!</definedName>
    <definedName name="Matreial">mat!#REF!</definedName>
    <definedName name="Schubladenart">mat!$B$2:$B$4</definedName>
    <definedName name="Zubehör">mat!$H$3:$H$6</definedName>
  </definedNames>
  <calcPr calcId="171026"/>
</workbook>
</file>

<file path=xl/calcChain.xml><?xml version="1.0" encoding="utf-8"?>
<calcChain xmlns="http://schemas.openxmlformats.org/spreadsheetml/2006/main">
  <c r="E29" i="1" l="1"/>
  <c r="H29" i="1"/>
  <c r="F29" i="1"/>
  <c r="J10" i="1"/>
  <c r="I10" i="1"/>
  <c r="C4" i="1"/>
  <c r="E4" i="1"/>
  <c r="G4" i="1"/>
  <c r="F4" i="1"/>
  <c r="H4" i="1"/>
  <c r="C5" i="1"/>
  <c r="E5" i="1"/>
  <c r="G5" i="1"/>
  <c r="F5" i="1"/>
  <c r="H5" i="1"/>
  <c r="C6" i="1"/>
  <c r="E6" i="1"/>
  <c r="G6" i="1"/>
  <c r="F6" i="1"/>
  <c r="H6" i="1"/>
  <c r="C7" i="1"/>
  <c r="E7" i="1"/>
  <c r="G7" i="1"/>
  <c r="F7" i="1"/>
  <c r="H7" i="1"/>
  <c r="C8" i="1"/>
  <c r="E8" i="1"/>
  <c r="G8" i="1"/>
  <c r="F8" i="1"/>
  <c r="H8" i="1"/>
  <c r="C9" i="1"/>
  <c r="E9" i="1"/>
  <c r="G9" i="1"/>
  <c r="F9" i="1"/>
  <c r="H9" i="1"/>
  <c r="C10" i="1"/>
  <c r="E10" i="1"/>
  <c r="G10" i="1"/>
  <c r="F10" i="1"/>
  <c r="H10" i="1"/>
  <c r="C14" i="1"/>
  <c r="E14" i="1"/>
  <c r="G14" i="1"/>
  <c r="F14" i="1"/>
  <c r="C15" i="1"/>
  <c r="E15" i="1"/>
  <c r="G15" i="1"/>
  <c r="F15" i="1"/>
  <c r="C16" i="1"/>
  <c r="E16" i="1"/>
  <c r="G16" i="1"/>
  <c r="F16" i="1"/>
  <c r="C17" i="1"/>
  <c r="E17" i="1"/>
  <c r="G17" i="1"/>
  <c r="F17" i="1"/>
  <c r="C18" i="1"/>
  <c r="E18" i="1"/>
  <c r="G18" i="1"/>
  <c r="F18" i="1"/>
  <c r="C19" i="1"/>
  <c r="E19" i="1"/>
  <c r="G19" i="1"/>
  <c r="F19" i="1"/>
  <c r="C20" i="1"/>
  <c r="E20" i="1"/>
  <c r="G20" i="1"/>
  <c r="F20" i="1"/>
  <c r="C22" i="1"/>
  <c r="E22" i="1"/>
  <c r="G22" i="1"/>
  <c r="F22" i="1"/>
  <c r="C23" i="1"/>
  <c r="E23" i="1"/>
  <c r="G23" i="1"/>
  <c r="F23" i="1"/>
  <c r="C24" i="1"/>
  <c r="E24" i="1"/>
  <c r="G24" i="1"/>
  <c r="F24" i="1"/>
  <c r="C25" i="1"/>
  <c r="E25" i="1"/>
  <c r="G25" i="1"/>
  <c r="F25" i="1"/>
  <c r="C26" i="1"/>
  <c r="E26" i="1"/>
  <c r="G26" i="1"/>
  <c r="F26" i="1"/>
  <c r="C27" i="1"/>
  <c r="E27" i="1"/>
  <c r="G27" i="1"/>
  <c r="F27" i="1"/>
  <c r="C28" i="1"/>
  <c r="E28" i="1"/>
  <c r="G28" i="1"/>
  <c r="F28" i="1"/>
  <c r="I29" i="1"/>
  <c r="C29" i="1"/>
  <c r="J29" i="1"/>
  <c r="C33" i="1"/>
  <c r="C34" i="1"/>
  <c r="C35" i="1"/>
  <c r="B22" i="1"/>
  <c r="B6" i="1"/>
  <c r="B5" i="1"/>
  <c r="B24" i="1"/>
  <c r="B19" i="1"/>
  <c r="B14" i="1"/>
  <c r="B10" i="1"/>
  <c r="B27" i="1"/>
  <c r="B16" i="1"/>
  <c r="B7" i="1"/>
  <c r="B8" i="1"/>
  <c r="B26" i="1"/>
  <c r="B15" i="1"/>
  <c r="B17" i="1"/>
  <c r="B28" i="1"/>
  <c r="B25" i="1"/>
  <c r="B20" i="1"/>
  <c r="B18" i="1"/>
  <c r="B9" i="1"/>
  <c r="B4" i="1"/>
  <c r="B23" i="1"/>
</calcChain>
</file>

<file path=xl/sharedStrings.xml><?xml version="1.0" encoding="utf-8"?>
<sst xmlns="http://schemas.openxmlformats.org/spreadsheetml/2006/main" count="317" uniqueCount="240">
  <si>
    <r>
      <t xml:space="preserve">Elementbreite bis  </t>
    </r>
    <r>
      <rPr>
        <b/>
        <sz val="10"/>
        <rFont val="Arial"/>
        <family val="2"/>
      </rPr>
      <t>Tiefe 510mm</t>
    </r>
  </si>
  <si>
    <t>Aussenseite</t>
  </si>
  <si>
    <t>Anbauelement (Se, So, Bo, De, Festtablar)</t>
  </si>
  <si>
    <t>Rückwand</t>
  </si>
  <si>
    <t>Tablar verstellbar</t>
  </si>
  <si>
    <t>Festtablar</t>
  </si>
  <si>
    <t>Tablar verstärkt (OSB)</t>
  </si>
  <si>
    <t>Sockel mit Boden</t>
  </si>
  <si>
    <t>Tandembox Innenschublade niedrig</t>
  </si>
  <si>
    <t>Tandembox mittelhoch mit 1 Reling</t>
  </si>
  <si>
    <t>Tandembox hoch mit 1 Reling</t>
  </si>
  <si>
    <t>zusätzlich Boxside</t>
  </si>
  <si>
    <t>Schublade in Birkensperrholz</t>
  </si>
  <si>
    <t>Zuschlag TipOn</t>
  </si>
  <si>
    <t>zusätzlich Doppel weiss perl</t>
  </si>
  <si>
    <t>Doppel mit Griffleistenprofil weiss</t>
  </si>
  <si>
    <t>Zuschlag Doppel Kunstharz farbig</t>
  </si>
  <si>
    <t>Zuschlag Doppel NCS lackiert</t>
  </si>
  <si>
    <t>Auszugstablar mit Relinggriff und Bord hinten</t>
  </si>
  <si>
    <t>Schuhauszug</t>
  </si>
  <si>
    <t>Preis Eurostaro brutto A1  TO</t>
  </si>
  <si>
    <t>Tablare und Zubehör</t>
  </si>
  <si>
    <t>Preis Eurostaro brutto A2</t>
  </si>
  <si>
    <t>Preis Eurostaro brutto A3</t>
  </si>
  <si>
    <t>Rabatt 40% Eurostaro 2014</t>
  </si>
  <si>
    <t>Zuschläge in %</t>
  </si>
  <si>
    <t>Für Nachkalkulation Preis Spa mel 22mm</t>
  </si>
  <si>
    <t>Preis Kante 25mm</t>
  </si>
  <si>
    <t>Arbeitsaufwände</t>
  </si>
  <si>
    <t>Arbeitszeiten</t>
  </si>
  <si>
    <t>Beschläge</t>
  </si>
  <si>
    <t>410 mm</t>
  </si>
  <si>
    <t>Massanfertigung</t>
  </si>
  <si>
    <t>Zuschnitt</t>
  </si>
  <si>
    <t>Bank</t>
  </si>
  <si>
    <t>510 mm</t>
  </si>
  <si>
    <t>pro Schnitt</t>
  </si>
  <si>
    <t>610 mm</t>
  </si>
  <si>
    <t>Eckstütze</t>
  </si>
  <si>
    <t>Spa 22mm</t>
  </si>
  <si>
    <t>Bank AF</t>
  </si>
  <si>
    <t>720 mm</t>
  </si>
  <si>
    <t>pro Mass</t>
  </si>
  <si>
    <t>820 mm</t>
  </si>
  <si>
    <t>Sockel</t>
  </si>
  <si>
    <t>Übertiefe</t>
  </si>
  <si>
    <t>Spa 19</t>
  </si>
  <si>
    <t>Masch.</t>
  </si>
  <si>
    <t>920 mm</t>
  </si>
  <si>
    <t>CNC</t>
  </si>
  <si>
    <t>1020 mm</t>
  </si>
  <si>
    <t>Übertiefe 2</t>
  </si>
  <si>
    <t>umfahren</t>
  </si>
  <si>
    <t>Kantenl.</t>
  </si>
  <si>
    <t>1120 mm</t>
  </si>
  <si>
    <t>1220 mm</t>
  </si>
  <si>
    <t>T. bis 680mm</t>
  </si>
  <si>
    <t>Tablar</t>
  </si>
  <si>
    <t>390mm</t>
  </si>
  <si>
    <t>Überhöhe</t>
  </si>
  <si>
    <t>Bohrungen</t>
  </si>
  <si>
    <t>500mm</t>
  </si>
  <si>
    <t>610mm</t>
  </si>
  <si>
    <t>Lochreihe</t>
  </si>
  <si>
    <t>Breitb.</t>
  </si>
  <si>
    <t>720mm</t>
  </si>
  <si>
    <t>Dachschräge</t>
  </si>
  <si>
    <t>840mm</t>
  </si>
  <si>
    <t>Nut/Falz</t>
  </si>
  <si>
    <t>Lack.</t>
  </si>
  <si>
    <t>960mm</t>
  </si>
  <si>
    <t>1180mm</t>
  </si>
  <si>
    <t>Seiten</t>
  </si>
  <si>
    <t xml:space="preserve"> </t>
  </si>
  <si>
    <t>T. bis 900mm</t>
  </si>
  <si>
    <t>Ta fest, plus</t>
  </si>
  <si>
    <t>Ka leimen</t>
  </si>
  <si>
    <t>Ta verst., plus</t>
  </si>
  <si>
    <t>Eckta</t>
  </si>
  <si>
    <t>Eckelement</t>
  </si>
  <si>
    <t>verputzen</t>
  </si>
  <si>
    <t>nach hinten</t>
  </si>
  <si>
    <t>Höhe über 2780mm</t>
  </si>
  <si>
    <t>seitlich</t>
  </si>
  <si>
    <t>aufladen</t>
  </si>
  <si>
    <t>Türe 500 breit</t>
  </si>
  <si>
    <t>Schrank abgestuft</t>
  </si>
  <si>
    <t>Übertiefe bis 700mm</t>
  </si>
  <si>
    <t>Überhöhe bis 2360</t>
  </si>
  <si>
    <t>Kleiderlift Servetto</t>
  </si>
  <si>
    <t>Überhöhe bis 2400</t>
  </si>
  <si>
    <t>Aufdoppelung</t>
  </si>
  <si>
    <t>Überhöhe bis 2800</t>
  </si>
  <si>
    <t>kleiner als Norm /Dim.</t>
  </si>
  <si>
    <t>Kalkulationsliste Innenschränke Kunstharz weiss perl 2009 Bestellung an Schreinerei</t>
  </si>
  <si>
    <t>Offertennummer</t>
  </si>
  <si>
    <t>Breite</t>
  </si>
  <si>
    <t>Höhe</t>
  </si>
  <si>
    <t>Tiefe</t>
  </si>
  <si>
    <t>Elementtiefe</t>
  </si>
  <si>
    <t>Mat Innenschrank</t>
  </si>
  <si>
    <t>Anzahl Elemente</t>
  </si>
  <si>
    <t>Element 1</t>
  </si>
  <si>
    <t>Schrankseite</t>
  </si>
  <si>
    <t xml:space="preserve">Boden </t>
  </si>
  <si>
    <t>Fixtablar</t>
  </si>
  <si>
    <t>Deckel</t>
  </si>
  <si>
    <t>Schublade</t>
  </si>
  <si>
    <t>Abschlussseite</t>
  </si>
  <si>
    <t>Element 2</t>
  </si>
  <si>
    <t>Element 3</t>
  </si>
  <si>
    <t>Sichtseite</t>
  </si>
  <si>
    <t>Gleittür-System</t>
  </si>
  <si>
    <t>Bodenschiene</t>
  </si>
  <si>
    <t>Deckenschiene</t>
  </si>
  <si>
    <t>Griffprofil</t>
  </si>
  <si>
    <t>Schubladen-Aufdoppelung</t>
  </si>
  <si>
    <t>Deckenblende</t>
  </si>
  <si>
    <t>Wandabschluss für Gleittüren</t>
  </si>
  <si>
    <t>Kunstharz weiss</t>
  </si>
  <si>
    <t>Seitendicke</t>
  </si>
  <si>
    <t>Element-Breite</t>
  </si>
  <si>
    <t>Element-Höhe</t>
  </si>
  <si>
    <t>Element-Tiefe</t>
  </si>
  <si>
    <t>Kleiderlift</t>
  </si>
  <si>
    <t/>
  </si>
  <si>
    <t>Schubladen</t>
  </si>
  <si>
    <t>Tandembox</t>
  </si>
  <si>
    <t>Element</t>
  </si>
  <si>
    <t>Boden mit Sockel</t>
  </si>
  <si>
    <t>Tablar fix</t>
  </si>
  <si>
    <t>Schrank-Seite</t>
  </si>
  <si>
    <t>Anbauelement</t>
  </si>
  <si>
    <t>Kleiderstange</t>
  </si>
  <si>
    <t>über Eck</t>
  </si>
  <si>
    <t>Material Innenschrank</t>
  </si>
  <si>
    <t>Türen</t>
  </si>
  <si>
    <t xml:space="preserve">Zuschläge </t>
  </si>
  <si>
    <t>Dachschräge (+10%)</t>
  </si>
  <si>
    <t>Überhöhe (+10%)</t>
  </si>
  <si>
    <t>Übertiefe (+10%)</t>
  </si>
  <si>
    <t>Imperio</t>
  </si>
  <si>
    <t>Gleittür-Fronten</t>
  </si>
  <si>
    <t>Glas</t>
  </si>
  <si>
    <t>hinten farbig lackiert</t>
  </si>
  <si>
    <t>flach aufgesetzt</t>
  </si>
  <si>
    <t>Alu natur eloxiert</t>
  </si>
  <si>
    <t>S 720</t>
  </si>
  <si>
    <t>Montage</t>
  </si>
  <si>
    <t>Anpassungsarbeiten</t>
  </si>
  <si>
    <t>Fahrspesen</t>
  </si>
  <si>
    <t>mit/ohne</t>
  </si>
  <si>
    <t>normal</t>
  </si>
  <si>
    <t>verstärkt (OSB)</t>
  </si>
  <si>
    <t xml:space="preserve">Tandembox </t>
  </si>
  <si>
    <t>mittelhoch mit 1 Reling</t>
  </si>
  <si>
    <t>hoch mit 1 Reling</t>
  </si>
  <si>
    <t>mit Griffleistenprofil weiss</t>
  </si>
  <si>
    <t>mit Relinggriff und Bord hinten</t>
  </si>
  <si>
    <t>Innenschublade niedrig</t>
  </si>
  <si>
    <t>Kunstharz farbig</t>
  </si>
  <si>
    <t>NCS lackiert</t>
  </si>
  <si>
    <t xml:space="preserve">Zuschlag Doppel </t>
  </si>
  <si>
    <t xml:space="preserve">Auszugstablar </t>
  </si>
  <si>
    <t>weiss perl</t>
  </si>
  <si>
    <t>zusätzlich Doppel</t>
  </si>
  <si>
    <t>beleuchtet</t>
  </si>
  <si>
    <t>flach-oval</t>
  </si>
  <si>
    <t>zusätzliches Fenster mit Abfrage nach Eck-Zubehör (Kleiderstange, Tablar,…)</t>
  </si>
  <si>
    <t>2</t>
  </si>
  <si>
    <t>alu natur eloxiert</t>
  </si>
  <si>
    <t>blabla</t>
  </si>
  <si>
    <t>tadaaa</t>
  </si>
  <si>
    <t>Gleittüre</t>
  </si>
  <si>
    <t>Flügeltüre</t>
  </si>
  <si>
    <t>Falttüre</t>
  </si>
  <si>
    <t>Kunstharz NCS lackiert</t>
  </si>
  <si>
    <t>Alu</t>
  </si>
  <si>
    <t>apfel</t>
  </si>
  <si>
    <t>spigel</t>
  </si>
  <si>
    <t>Mat Front/Innenschrank</t>
  </si>
  <si>
    <t>Türen Art</t>
  </si>
  <si>
    <t>Türen System</t>
  </si>
  <si>
    <t>Decken-/Bodenschine</t>
  </si>
  <si>
    <t>Wandabschluss</t>
  </si>
  <si>
    <t>..</t>
  </si>
  <si>
    <t>andere (Preis selber eintragen)</t>
  </si>
  <si>
    <t>Sperrholz (Birke)</t>
  </si>
  <si>
    <t>Auszugstablar</t>
  </si>
  <si>
    <t>Schuhauszug mit Relinggriff + Bord hinten</t>
  </si>
  <si>
    <t>Innenschublade mittelhoch mit 1 Reling</t>
  </si>
  <si>
    <t>Innenschublade hoch mit 1 Reling</t>
  </si>
  <si>
    <t>Griffprofil Türe</t>
  </si>
  <si>
    <t>Schubladen Doppel</t>
  </si>
  <si>
    <t>Aufhängsystem</t>
  </si>
  <si>
    <t>Kliederstange</t>
  </si>
  <si>
    <t>Lift</t>
  </si>
  <si>
    <t>Kravattenauszug</t>
  </si>
  <si>
    <t>oval verchromt</t>
  </si>
  <si>
    <t>Aufhängsystem Ausführung</t>
  </si>
  <si>
    <t>arrMatFlaechen</t>
  </si>
  <si>
    <t>arrArtTueren</t>
  </si>
  <si>
    <t>arrAufhaengesys</t>
  </si>
  <si>
    <t>arrTuersystem</t>
  </si>
  <si>
    <t>arrTuerSchienen</t>
  </si>
  <si>
    <t>kunhWei</t>
  </si>
  <si>
    <t>kunhFarb</t>
  </si>
  <si>
    <t>kunhNCS</t>
  </si>
  <si>
    <t>glas</t>
  </si>
  <si>
    <t>tand</t>
  </si>
  <si>
    <t>ausz</t>
  </si>
  <si>
    <t>sperr</t>
  </si>
  <si>
    <t>schuh</t>
  </si>
  <si>
    <t>arrMatSchuDo</t>
  </si>
  <si>
    <t>kleiSt</t>
  </si>
  <si>
    <t>kleiLi</t>
  </si>
  <si>
    <t>kravAusz</t>
  </si>
  <si>
    <t>aluElox</t>
  </si>
  <si>
    <t>alu</t>
  </si>
  <si>
    <t>spiegel</t>
  </si>
  <si>
    <t>Schubladen System</t>
  </si>
  <si>
    <t>arrSysSchubladen</t>
  </si>
  <si>
    <t>arrSchuHoehe</t>
  </si>
  <si>
    <t>niedrig</t>
  </si>
  <si>
    <t>mittel</t>
  </si>
  <si>
    <t>hoch</t>
  </si>
  <si>
    <t>Bez. Programm:</t>
  </si>
  <si>
    <t>Schubladen Höhe</t>
  </si>
  <si>
    <t>arrTuerGriffprofil</t>
  </si>
  <si>
    <t>Schubladen Griff</t>
  </si>
  <si>
    <t>ohne</t>
  </si>
  <si>
    <t>arrGriffSchuDo</t>
  </si>
  <si>
    <t xml:space="preserve">Griff </t>
  </si>
  <si>
    <t>grProf</t>
  </si>
  <si>
    <t>giff</t>
  </si>
  <si>
    <t>arrAufhAusf</t>
  </si>
  <si>
    <t>oval</t>
  </si>
  <si>
    <t>licht</t>
  </si>
  <si>
    <t>oVerchr</t>
  </si>
  <si>
    <t>arrWandabsch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</si>
</sst>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_ ;\-#,##0.00\ "/>
  </numFmts>
  <fonts count="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1" xfId="0" applyBorder="1"/>
    <xf numFmtId="0" fontId="3" fillId="0" borderId="1" xfId="0" applyFont="1" applyBorder="1"/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 textRotation="90"/>
    </xf>
    <xf numFmtId="0" fontId="0" fillId="0" borderId="1" xfId="0" applyBorder="1" applyAlignment="1">
      <alignment horizontal="center" textRotation="90" wrapText="1"/>
    </xf>
    <xf numFmtId="0" fontId="0" fillId="0" borderId="1" xfId="0" applyBorder="1" applyAlignment="1">
      <alignment textRotation="90"/>
    </xf>
    <xf numFmtId="2" fontId="0" fillId="0" borderId="1" xfId="0" applyNumberFormat="1" applyBorder="1"/>
    <xf numFmtId="17" fontId="0" fillId="0" borderId="1" xfId="0" applyNumberFormat="1" applyBorder="1"/>
    <xf numFmtId="45" fontId="0" fillId="0" borderId="1" xfId="0" applyNumberFormat="1" applyBorder="1"/>
    <xf numFmtId="0" fontId="2" fillId="0" borderId="1" xfId="0" applyFont="1" applyBorder="1"/>
    <xf numFmtId="0" fontId="5" fillId="0" borderId="1" xfId="0" applyFont="1" applyBorder="1"/>
    <xf numFmtId="2" fontId="0" fillId="0" borderId="1" xfId="0" applyNumberFormat="1" applyBorder="1" applyAlignment="1">
      <alignment horizontal="center" textRotation="90" wrapText="1"/>
    </xf>
    <xf numFmtId="21" fontId="0" fillId="0" borderId="1" xfId="0" applyNumberFormat="1" applyBorder="1"/>
    <xf numFmtId="9" fontId="0" fillId="0" borderId="1" xfId="0" applyNumberFormat="1" applyBorder="1"/>
    <xf numFmtId="0" fontId="4" fillId="0" borderId="1" xfId="0" applyFont="1" applyBorder="1" applyAlignment="1">
      <alignment horizontal="center" textRotation="90" wrapText="1"/>
    </xf>
    <xf numFmtId="10" fontId="0" fillId="0" borderId="1" xfId="0" applyNumberFormat="1" applyBorder="1"/>
    <xf numFmtId="164" fontId="0" fillId="0" borderId="1" xfId="1" applyFont="1" applyBorder="1"/>
    <xf numFmtId="0" fontId="6" fillId="0" borderId="1" xfId="0" applyFont="1" applyBorder="1"/>
    <xf numFmtId="0" fontId="6" fillId="0" borderId="1" xfId="0" applyFont="1" applyBorder="1" applyAlignment="1">
      <alignment horizontal="center" textRotation="90" wrapText="1"/>
    </xf>
    <xf numFmtId="2" fontId="6" fillId="0" borderId="1" xfId="0" applyNumberFormat="1" applyFont="1" applyBorder="1" applyAlignment="1">
      <alignment horizontal="center" textRotation="90" wrapText="1"/>
    </xf>
    <xf numFmtId="0" fontId="2" fillId="0" borderId="0" xfId="0" applyFont="1"/>
    <xf numFmtId="0" fontId="6" fillId="0" borderId="0" xfId="0" applyFont="1"/>
    <xf numFmtId="0" fontId="7" fillId="0" borderId="0" xfId="0" applyFont="1"/>
    <xf numFmtId="0" fontId="0" fillId="0" borderId="0" xfId="0" applyNumberFormat="1"/>
    <xf numFmtId="0" fontId="0" fillId="2" borderId="0" xfId="0" applyFill="1"/>
  </cellXfs>
  <cellStyles count="2">
    <cellStyle name="Komma" xfId="1" builtinId="3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594144</xdr:colOff>
      <xdr:row>32</xdr:row>
      <xdr:rowOff>91392</xdr:rowOff>
    </xdr:from>
    <xdr:to>
      <xdr:col>5</xdr:col>
      <xdr:colOff>762048</xdr:colOff>
      <xdr:row>33</xdr:row>
      <xdr:rowOff>114408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Freihand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14:cNvPr>
            <xdr14:cNvContentPartPr/>
          </xdr14:nvContentPartPr>
          <xdr14:nvPr macro=""/>
          <xdr14:xfrm>
            <a:off x="5897664" y="5455872"/>
            <a:ext cx="167904" cy="190656"/>
          </xdr14:xfrm>
        </xdr:contentPart>
      </mc:Choice>
      <mc:Fallback xmlns="">
        <xdr:pic>
          <xdr:nvPicPr>
            <xdr:cNvPr id="4" name="Freihand 3">
              <a:extLst>
                <a:ext uri="{FF2B5EF4-FFF2-40B4-BE49-F238E27FC236}">
                  <a16:creationId xmlns:a16="http://schemas.microsoft.com/office/drawing/2014/main" id="{57ED5D69-5256-48F4-B85B-4379BADEE06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890624" y="5448664"/>
              <a:ext cx="181632" cy="204712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99060</xdr:colOff>
          <xdr:row>5</xdr:row>
          <xdr:rowOff>99060</xdr:rowOff>
        </xdr:from>
        <xdr:to>
          <xdr:col>8</xdr:col>
          <xdr:colOff>182880</xdr:colOff>
          <xdr:row>8</xdr:row>
          <xdr:rowOff>106680</xdr:rowOff>
        </xdr:to>
        <xdr:sp macro="" textlink="">
          <xdr:nvSpPr>
            <xdr:cNvPr id="1027" name="cmdAbfrage1" descr="Abfrage1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7-07-04T18:15:22.106"/>
    </inkml:context>
    <inkml:brush xml:id="br0">
      <inkml:brushProperty name="width" value="0.04" units="cm"/>
      <inkml:brushProperty name="height" value="0.04" units="cm"/>
    </inkml:brush>
  </inkml:definitions>
  <inkml:traceGroup>
    <inkml:annotationXML>
      <emma:emma xmlns:emma="http://www.w3.org/2003/04/emma" version="1.0">
        <emma:interpretation id="{08CBEEEB-6601-4E3F-A09E-1F79B6740B3A}" emma:medium="tactile" emma:mode="ink">
          <msink:context xmlns:msink="http://schemas.microsoft.com/ink/2010/main" type="writingRegion" rotatedBoundingBox="16382,15155 16858,15155 16858,15683 16382,15683"/>
        </emma:interpretation>
      </emma:emma>
    </inkml:annotationXML>
    <inkml:traceGroup>
      <inkml:annotationXML>
        <emma:emma xmlns:emma="http://www.w3.org/2003/04/emma" version="1.0">
          <emma:interpretation id="{65DC08C1-AAB4-4B7A-B2F6-BC3A25660704}" emma:medium="tactile" emma:mode="ink">
            <msink:context xmlns:msink="http://schemas.microsoft.com/ink/2010/main" type="paragraph" rotatedBoundingBox="16382,15155 16858,15155 16858,15683 16382,15683" alignmentLevel="1"/>
          </emma:interpretation>
        </emma:emma>
      </inkml:annotationXML>
      <inkml:traceGroup>
        <inkml:annotationXML>
          <emma:emma xmlns:emma="http://www.w3.org/2003/04/emma" version="1.0">
            <emma:interpretation id="{6C0DE614-F525-4DEA-9D69-F658F42ED680}" emma:medium="tactile" emma:mode="ink">
              <msink:context xmlns:msink="http://schemas.microsoft.com/ink/2010/main" type="line" rotatedBoundingBox="16382,15155 16858,15155 16858,15683 16382,15683"/>
            </emma:interpretation>
          </emma:emma>
        </inkml:annotationXML>
        <inkml:traceGroup>
          <inkml:annotationXML>
            <emma:emma xmlns:emma="http://www.w3.org/2003/04/emma" version="1.0">
              <emma:interpretation id="{A521E7BE-CC86-4CD3-9052-6A3197727848}" emma:medium="tactile" emma:mode="ink">
                <msink:context xmlns:msink="http://schemas.microsoft.com/ink/2010/main" type="inkWord" rotatedBoundingBox="16382,15155 16858,15155 16858,15683 16382,15683"/>
              </emma:interpretation>
              <emma:one-of disjunction-type="recognition" id="oneOf0">
                <emma:interpretation id="interp0" emma:lang="de-CH" emma:confidence="0">
                  <emma:literal>,</emma:literal>
                </emma:interpretation>
                <emma:interpretation id="interp1" emma:lang="de-CH" emma:confidence="0">
                  <emma:literal>'</emma:literal>
                </emma:interpretation>
                <emma:interpretation id="interp2" emma:lang="de-CH" emma:confidence="0">
                  <emma:literal>/</emma:literal>
                </emma:interpretation>
                <emma:interpretation id="interp3" emma:lang="de-CH" emma:confidence="0">
                  <emma:literal>.</emma:literal>
                </emma:interpretation>
                <emma:interpretation id="interp4" emma:lang="de-CH" emma:confidence="0">
                  <emma:literal>J</emma:literal>
                </emma:interpretation>
              </emma:one-of>
            </emma:emma>
          </inkml:annotationXML>
          <inkml:trace contextRef="#ctx0" brushRef="#br0">4309 3875 4754,'0'21'1041,"-21"0"15,0 0-976,0 0 112,21-21 0,-21 21-16,21-21-15,-22 21-49,22-21 0,-21 22-32,21-22 0,-22 0-48,22 0-32,-20 21-32,20-21-64,-22 0-64,22 0-177,0 0-287,0 0-272,-21 0-241,21 21-656,0-21-1200</inkml:trace>
          <inkml:trace contextRef="#ctx0" brushRef="#br0" timeOffset="632">4520 3606 5651,'0'0'1216,"0"0"33,0-27-881,0 27-224,0 0-80,0 0 0,0 0-16,0 0-32,0 0-16,26 0-32,-26 27-64,0-27-48,0 0-96,27 0-224,-27 26-289,0-26-319,0 0-145,0 26-640,0-26-1088</inkml:trace>
          <inkml:trace contextRef="#ctx0" brushRef="#br0" timeOffset="1293">4335 3617 5715,'0'0'1392,"-26"-27"33,26 27-817,-27 0-256,27-26-96,-26 26-79,26 0-49,-26 0-64,26 0-32,-27 0-16,27 0-16,0 0-64,0 0-32,0 0-81,0 0-111,0 0-176,0-27-384,27 27-321,-27 0-223,0 0-769,0 0-1345</inkml:trace>
          <inkml:trace contextRef="#ctx0" brushRef="#br0" timeOffset="1909">4146 3663 7011,'-27'0'1537,"27"0"0,0 26-1153,0-26-192,0 0-96,0 27-80,0-27-16,0 0-16,0 26-16,0-26-32,0 0-32,0 0-48,27 0-48,-27 0-80,0 0-113,26 0-319,-26 0-352,0-26-321,27 26-16,-27 0-672,0 0-912</inkml:trace>
        </inkml:traceGroup>
      </inkml:traceGroup>
    </inkml:traceGroup>
  </inkml:traceGroup>
</inkml: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_Berechnung_Preise"/>
  <dimension ref="A1:AG46"/>
  <sheetViews>
    <sheetView zoomScale="92" zoomScaleNormal="100" workbookViewId="0">
      <selection activeCell="J12" sqref="J12"/>
    </sheetView>
  </sheetViews>
  <sheetFormatPr baseColWidth="10" defaultColWidth="11.5546875" defaultRowHeight="13.2" x14ac:dyDescent="0.25"/>
  <cols>
    <col min="1" max="1" width="15.44140625" style="1" customWidth="1"/>
    <col min="2" max="2" width="6.44140625" style="1" customWidth="1"/>
    <col min="3" max="7" width="7.6640625" style="1" customWidth="1"/>
    <col min="8" max="8" width="6.5546875" style="1" customWidth="1"/>
    <col min="9" max="9" width="6.44140625" style="1" customWidth="1"/>
    <col min="10" max="10" width="6.6640625" style="1" customWidth="1"/>
    <col min="11" max="11" width="6.88671875" customWidth="1"/>
    <col min="12" max="20" width="5.6640625" style="1" customWidth="1"/>
    <col min="21" max="26" width="7.6640625" style="7" customWidth="1"/>
    <col min="27" max="27" width="5.44140625" style="1" customWidth="1"/>
    <col min="28" max="28" width="13.88671875" style="1" customWidth="1"/>
    <col min="29" max="29" width="9.6640625" style="1" customWidth="1"/>
    <col min="30" max="31" width="9.88671875" style="1" customWidth="1"/>
    <col min="32" max="32" width="8.109375" style="7" customWidth="1"/>
    <col min="33" max="33" width="7.6640625" style="7" customWidth="1"/>
    <col min="34" max="16384" width="11.5546875" style="1"/>
  </cols>
  <sheetData>
    <row r="1" spans="1:33" ht="21" x14ac:dyDescent="0.4">
      <c r="A1" s="2" t="s">
        <v>94</v>
      </c>
    </row>
    <row r="3" spans="1:33" ht="76.95" customHeight="1" x14ac:dyDescent="0.25">
      <c r="A3" s="3" t="s">
        <v>0</v>
      </c>
      <c r="B3" s="4" t="s">
        <v>1</v>
      </c>
      <c r="C3" s="5" t="s">
        <v>2</v>
      </c>
      <c r="D3" s="6" t="s">
        <v>3</v>
      </c>
      <c r="E3" s="5" t="s">
        <v>4</v>
      </c>
      <c r="F3" s="4" t="s">
        <v>5</v>
      </c>
      <c r="G3" s="5" t="s">
        <v>6</v>
      </c>
      <c r="H3" s="5" t="s">
        <v>7</v>
      </c>
      <c r="I3" s="15" t="s">
        <v>8</v>
      </c>
      <c r="J3" s="15" t="s">
        <v>9</v>
      </c>
      <c r="K3" s="15" t="s">
        <v>10</v>
      </c>
      <c r="L3" s="19" t="s">
        <v>11</v>
      </c>
      <c r="M3" s="19" t="s">
        <v>12</v>
      </c>
      <c r="N3" s="19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20" t="s">
        <v>20</v>
      </c>
      <c r="V3" s="20" t="s">
        <v>21</v>
      </c>
      <c r="W3" s="20" t="s">
        <v>22</v>
      </c>
      <c r="X3" s="20" t="s">
        <v>21</v>
      </c>
      <c r="Y3" s="20" t="s">
        <v>23</v>
      </c>
      <c r="Z3" s="20" t="s">
        <v>21</v>
      </c>
      <c r="AA3" s="19" t="s">
        <v>24</v>
      </c>
      <c r="AB3" s="5" t="s">
        <v>25</v>
      </c>
      <c r="AC3" s="5" t="s">
        <v>26</v>
      </c>
      <c r="AD3" s="5" t="s">
        <v>27</v>
      </c>
      <c r="AE3" s="5" t="s">
        <v>28</v>
      </c>
      <c r="AF3" s="12" t="s">
        <v>29</v>
      </c>
      <c r="AG3" s="12" t="s">
        <v>30</v>
      </c>
    </row>
    <row r="4" spans="1:33" x14ac:dyDescent="0.25">
      <c r="A4" s="18" t="s">
        <v>31</v>
      </c>
      <c r="B4" s="7">
        <f t="shared" ref="B4:B10" si="0">$C$4-$H$4-(2*$F$4)</f>
        <v>97.691999999999993</v>
      </c>
      <c r="C4" s="7">
        <f t="shared" ref="C4:C10" si="1">ROUND((U4-4*U14)*(100-$AA$4)/100*(1+$AB$5%)*(1+$AB$7%),0)</f>
        <v>165</v>
      </c>
      <c r="D4" s="7">
        <v>45</v>
      </c>
      <c r="E4" s="7">
        <f>U14*(100-$AA$4)/100*(1+$AB$5%)*(1+$AB$7%)</f>
        <v>10.527000000000001</v>
      </c>
      <c r="F4" s="7">
        <f t="shared" ref="F4:F10" si="2">U14*(100-$AA$4)/100*(1+$AB$5%)*(1+$AB$7%)+$U$22*(100-$AA$4)/100</f>
        <v>18.927</v>
      </c>
      <c r="G4" s="7">
        <f>(U14+$U$24)*(100-$AA$4)/100*(1+$AB$5%)*(1+$AB$7%)</f>
        <v>23.595000000000006</v>
      </c>
      <c r="H4" s="7">
        <f t="shared" ref="H4:H10" si="3">2*U14*(100-$AA$4)/100*(1+$AB$5%)*(1+$AB$7%)+$U$22*(100-$AA$4)/100</f>
        <v>29.454000000000001</v>
      </c>
      <c r="I4" s="7"/>
      <c r="J4" s="7"/>
      <c r="L4" s="7"/>
      <c r="M4" s="7"/>
      <c r="N4" s="7"/>
      <c r="O4" s="7"/>
      <c r="P4" s="7"/>
      <c r="Q4" s="7"/>
      <c r="R4" s="7"/>
      <c r="S4" s="7"/>
      <c r="T4" s="7"/>
      <c r="U4" s="7">
        <v>285</v>
      </c>
      <c r="V4" s="7">
        <v>17</v>
      </c>
      <c r="AA4" s="7">
        <v>40</v>
      </c>
      <c r="AB4" s="7" t="s">
        <v>32</v>
      </c>
      <c r="AC4" s="8">
        <v>39142</v>
      </c>
      <c r="AD4" s="8"/>
      <c r="AE4" s="9" t="s">
        <v>33</v>
      </c>
      <c r="AF4" s="7" t="s">
        <v>34</v>
      </c>
    </row>
    <row r="5" spans="1:33" x14ac:dyDescent="0.25">
      <c r="A5" s="18" t="s">
        <v>35</v>
      </c>
      <c r="B5" s="7">
        <f t="shared" si="0"/>
        <v>97.691999999999993</v>
      </c>
      <c r="C5" s="7">
        <f t="shared" si="1"/>
        <v>178</v>
      </c>
      <c r="D5" s="7">
        <v>45</v>
      </c>
      <c r="E5" s="7">
        <f t="shared" ref="E5:E10" si="4">U15*(100-$AA$4)/100*(1+$AB$5%)*(1+$AB$7%)</f>
        <v>12.342000000000002</v>
      </c>
      <c r="F5" s="7">
        <f t="shared" si="2"/>
        <v>20.742000000000004</v>
      </c>
      <c r="G5" s="7">
        <f>(U15+$U$24)*(100-$AA$4)/100*(1+$AB$5%)*(1+$AB$7%)</f>
        <v>25.410000000000004</v>
      </c>
      <c r="H5" s="7">
        <f t="shared" si="3"/>
        <v>33.084000000000003</v>
      </c>
      <c r="I5" s="7"/>
      <c r="J5" s="7"/>
      <c r="L5" s="7"/>
      <c r="M5" s="7"/>
      <c r="N5" s="7"/>
      <c r="O5" s="7"/>
      <c r="P5" s="7"/>
      <c r="Q5" s="7"/>
      <c r="R5" s="7"/>
      <c r="S5" s="7"/>
      <c r="T5" s="7"/>
      <c r="U5" s="7">
        <v>313</v>
      </c>
      <c r="V5" s="7">
        <v>19</v>
      </c>
      <c r="AA5" s="7"/>
      <c r="AB5" s="7">
        <v>10</v>
      </c>
      <c r="AC5" s="7">
        <v>18.600000000000001</v>
      </c>
      <c r="AD5" s="7">
        <v>0.55000000000000004</v>
      </c>
      <c r="AE5" s="9" t="s">
        <v>36</v>
      </c>
      <c r="AF5" s="7">
        <v>72</v>
      </c>
    </row>
    <row r="6" spans="1:33" x14ac:dyDescent="0.25">
      <c r="A6" s="18" t="s">
        <v>37</v>
      </c>
      <c r="B6" s="7">
        <f t="shared" si="0"/>
        <v>97.691999999999993</v>
      </c>
      <c r="C6" s="7">
        <f t="shared" si="1"/>
        <v>190</v>
      </c>
      <c r="D6" s="7">
        <v>45</v>
      </c>
      <c r="E6" s="7">
        <f t="shared" si="4"/>
        <v>14.157000000000002</v>
      </c>
      <c r="F6" s="7">
        <f t="shared" si="2"/>
        <v>22.557000000000002</v>
      </c>
      <c r="G6" s="7">
        <f>(U16+$U$24)*(100-$AA$4)/100*(1+$AB$5%)*(1+$AB$7%)</f>
        <v>27.225000000000005</v>
      </c>
      <c r="H6" s="7">
        <f t="shared" si="3"/>
        <v>36.714000000000006</v>
      </c>
      <c r="I6" s="7"/>
      <c r="J6" s="7" t="s">
        <v>38</v>
      </c>
      <c r="L6" s="7"/>
      <c r="M6" s="7"/>
      <c r="N6" s="7"/>
      <c r="O6" s="7"/>
      <c r="P6" s="7"/>
      <c r="Q6" s="7"/>
      <c r="R6" s="7"/>
      <c r="S6" s="7"/>
      <c r="T6" s="7"/>
      <c r="U6" s="7">
        <v>340</v>
      </c>
      <c r="V6" s="7">
        <v>22</v>
      </c>
      <c r="AA6" s="7"/>
      <c r="AB6" s="7" t="s">
        <v>39</v>
      </c>
      <c r="AC6" s="7"/>
      <c r="AD6" s="7"/>
      <c r="AE6" s="9">
        <v>3.4722222222222224E-4</v>
      </c>
      <c r="AF6" s="7" t="s">
        <v>40</v>
      </c>
    </row>
    <row r="7" spans="1:33" x14ac:dyDescent="0.25">
      <c r="A7" s="18" t="s">
        <v>41</v>
      </c>
      <c r="B7" s="7">
        <f t="shared" si="0"/>
        <v>97.691999999999993</v>
      </c>
      <c r="C7" s="7">
        <f t="shared" si="1"/>
        <v>198</v>
      </c>
      <c r="D7" s="7">
        <v>58</v>
      </c>
      <c r="E7" s="7">
        <f t="shared" si="4"/>
        <v>16.698000000000004</v>
      </c>
      <c r="F7" s="7">
        <f t="shared" si="2"/>
        <v>25.098000000000006</v>
      </c>
      <c r="G7" s="7">
        <f>(U17+$U$24)*(100-$AA$4)/100*(1+$AB$5%)*(1+$AB$7%)</f>
        <v>29.766000000000005</v>
      </c>
      <c r="H7" s="7">
        <f t="shared" si="3"/>
        <v>41.796000000000006</v>
      </c>
      <c r="I7" s="7"/>
      <c r="J7" s="7">
        <v>40</v>
      </c>
      <c r="L7" s="7"/>
      <c r="M7" s="7"/>
      <c r="N7" s="7"/>
      <c r="O7" s="7"/>
      <c r="P7" s="7"/>
      <c r="Q7" s="7"/>
      <c r="R7" s="7"/>
      <c r="S7" s="7"/>
      <c r="T7" s="7"/>
      <c r="U7" s="7">
        <v>365</v>
      </c>
      <c r="V7" s="7">
        <v>26</v>
      </c>
      <c r="AA7" s="7"/>
      <c r="AB7" s="7">
        <v>10</v>
      </c>
      <c r="AC7" s="7"/>
      <c r="AD7" s="7"/>
      <c r="AE7" s="9" t="s">
        <v>42</v>
      </c>
      <c r="AF7" s="7">
        <v>36</v>
      </c>
    </row>
    <row r="8" spans="1:33" x14ac:dyDescent="0.25">
      <c r="A8" s="18" t="s">
        <v>43</v>
      </c>
      <c r="B8" s="7">
        <f t="shared" si="0"/>
        <v>97.691999999999993</v>
      </c>
      <c r="C8" s="7">
        <f t="shared" si="1"/>
        <v>214</v>
      </c>
      <c r="D8" s="7">
        <v>58</v>
      </c>
      <c r="E8" s="7">
        <f t="shared" si="4"/>
        <v>19.239000000000004</v>
      </c>
      <c r="F8" s="7">
        <f t="shared" si="2"/>
        <v>27.639000000000003</v>
      </c>
      <c r="G8" s="7">
        <f>(U18+$U$24)*(100-$AA$4)/100*(1+$AB$5%)*(1+$AB$7%)</f>
        <v>32.307000000000002</v>
      </c>
      <c r="H8" s="7">
        <f t="shared" si="3"/>
        <v>46.878000000000007</v>
      </c>
      <c r="I8" s="7"/>
      <c r="J8" s="7" t="s">
        <v>44</v>
      </c>
      <c r="L8" s="7"/>
      <c r="M8" s="7"/>
      <c r="N8" s="7"/>
      <c r="O8" s="7"/>
      <c r="P8" s="7"/>
      <c r="Q8" s="7"/>
      <c r="R8" s="7"/>
      <c r="S8" s="7"/>
      <c r="T8" s="7"/>
      <c r="U8" s="7">
        <v>401</v>
      </c>
      <c r="V8" s="7">
        <v>29</v>
      </c>
      <c r="AA8" s="7"/>
      <c r="AB8" s="7" t="s">
        <v>45</v>
      </c>
      <c r="AC8" s="7" t="s">
        <v>46</v>
      </c>
      <c r="AD8" s="7"/>
      <c r="AE8" s="13">
        <v>6.9444444444444447E-4</v>
      </c>
      <c r="AF8" s="7" t="s">
        <v>47</v>
      </c>
    </row>
    <row r="9" spans="1:33" x14ac:dyDescent="0.25">
      <c r="A9" s="18" t="s">
        <v>48</v>
      </c>
      <c r="B9" s="7">
        <f t="shared" si="0"/>
        <v>97.691999999999993</v>
      </c>
      <c r="C9" s="7">
        <f t="shared" si="1"/>
        <v>232</v>
      </c>
      <c r="D9" s="7">
        <v>68</v>
      </c>
      <c r="E9" s="7">
        <f t="shared" si="4"/>
        <v>21.417000000000005</v>
      </c>
      <c r="F9" s="7">
        <f t="shared" si="2"/>
        <v>29.817000000000007</v>
      </c>
      <c r="G9" s="7">
        <f>(U19+$U$25)*(100-$AA$4)/100*(1+$AB$5%)*(1+$AB$7%)</f>
        <v>41.019000000000005</v>
      </c>
      <c r="H9" s="7">
        <f t="shared" si="3"/>
        <v>51.234000000000009</v>
      </c>
      <c r="I9" s="7"/>
      <c r="J9" s="7">
        <v>40</v>
      </c>
      <c r="L9" s="7"/>
      <c r="M9" s="7"/>
      <c r="N9" s="7"/>
      <c r="O9" s="7"/>
      <c r="P9" s="7"/>
      <c r="Q9" s="7"/>
      <c r="R9" s="7"/>
      <c r="S9" s="7"/>
      <c r="T9" s="7"/>
      <c r="U9" s="7">
        <v>438</v>
      </c>
      <c r="V9" s="7">
        <v>33</v>
      </c>
      <c r="AA9" s="7"/>
      <c r="AB9" s="7">
        <v>10</v>
      </c>
      <c r="AC9" s="7">
        <v>13.15</v>
      </c>
      <c r="AD9" s="7"/>
      <c r="AE9" s="9" t="s">
        <v>49</v>
      </c>
      <c r="AF9" s="7">
        <v>96</v>
      </c>
    </row>
    <row r="10" spans="1:33" x14ac:dyDescent="0.25">
      <c r="A10" s="18" t="s">
        <v>50</v>
      </c>
      <c r="B10" s="7">
        <f t="shared" si="0"/>
        <v>97.691999999999993</v>
      </c>
      <c r="C10" s="7">
        <f t="shared" si="1"/>
        <v>240</v>
      </c>
      <c r="D10" s="7">
        <v>68</v>
      </c>
      <c r="E10" s="7">
        <f t="shared" si="4"/>
        <v>25.410000000000004</v>
      </c>
      <c r="F10" s="7">
        <f t="shared" si="2"/>
        <v>33.81</v>
      </c>
      <c r="G10" s="7">
        <f>(U20+$U$25)*(100-$AA$4)/100*(1+$AB$5%)*(1+$AB$7%)</f>
        <v>45.012000000000015</v>
      </c>
      <c r="H10" s="7">
        <f t="shared" si="3"/>
        <v>59.220000000000006</v>
      </c>
      <c r="I10" s="7">
        <f>(U14+(U27/8))*(100-$AA$4)/100*(1+$AB$5%)*(1+$AB$7%)</f>
        <v>125.32575000000003</v>
      </c>
      <c r="J10" s="7">
        <f>(U14+(U27/8))*(100-$AA$4)/100*(1+$AB$5%)*(1+$AB$7%)+$U$22*(100-$AA$4)/100</f>
        <v>133.72575000000003</v>
      </c>
      <c r="L10" s="7"/>
      <c r="M10" s="7"/>
      <c r="N10" s="7"/>
      <c r="O10" s="7"/>
      <c r="P10" s="7"/>
      <c r="Q10" s="7"/>
      <c r="R10" s="7"/>
      <c r="S10" s="7"/>
      <c r="T10" s="7"/>
      <c r="U10" s="7">
        <v>470</v>
      </c>
      <c r="V10" s="7">
        <v>35</v>
      </c>
      <c r="AA10" s="7"/>
      <c r="AB10" s="7" t="s">
        <v>51</v>
      </c>
      <c r="AC10" s="7"/>
      <c r="AD10" s="7"/>
      <c r="AE10" s="9" t="s">
        <v>52</v>
      </c>
      <c r="AF10" s="7" t="s">
        <v>53</v>
      </c>
    </row>
    <row r="11" spans="1:33" x14ac:dyDescent="0.25">
      <c r="A11" s="18" t="s">
        <v>54</v>
      </c>
      <c r="B11" s="7"/>
      <c r="C11" s="7"/>
      <c r="D11" s="7"/>
      <c r="E11" s="7"/>
      <c r="F11" s="7"/>
      <c r="G11" s="7"/>
      <c r="H11" s="7"/>
      <c r="I11" s="7"/>
      <c r="J11" s="7"/>
      <c r="L11" s="7"/>
      <c r="M11" s="7"/>
      <c r="N11" s="7"/>
      <c r="O11" s="7"/>
      <c r="P11" s="7"/>
      <c r="Q11" s="7"/>
      <c r="R11" s="7"/>
      <c r="S11" s="7"/>
      <c r="T11" s="7"/>
      <c r="U11" s="7">
        <v>509</v>
      </c>
      <c r="V11" s="7">
        <v>38</v>
      </c>
      <c r="AA11" s="7"/>
      <c r="AB11" s="7"/>
      <c r="AC11" s="7"/>
      <c r="AD11" s="7"/>
      <c r="AE11" s="9"/>
    </row>
    <row r="12" spans="1:33" x14ac:dyDescent="0.25">
      <c r="A12" s="18" t="s">
        <v>55</v>
      </c>
      <c r="B12" s="7"/>
      <c r="C12" s="7"/>
      <c r="D12" s="7"/>
      <c r="E12" s="7"/>
      <c r="F12" s="7"/>
      <c r="G12" s="7"/>
      <c r="H12" s="7"/>
      <c r="I12" s="7"/>
      <c r="J12" s="7"/>
      <c r="L12" s="7"/>
      <c r="M12" s="7"/>
      <c r="N12" s="7"/>
      <c r="O12" s="7"/>
      <c r="P12" s="7"/>
      <c r="Q12" s="7"/>
      <c r="R12" s="7"/>
      <c r="S12" s="7"/>
      <c r="T12" s="7"/>
      <c r="U12" s="7">
        <v>548</v>
      </c>
      <c r="V12" s="7">
        <v>41</v>
      </c>
      <c r="AA12" s="7"/>
      <c r="AB12" s="7"/>
      <c r="AC12" s="7"/>
      <c r="AD12" s="7"/>
      <c r="AE12" s="9"/>
    </row>
    <row r="13" spans="1:33" x14ac:dyDescent="0.25">
      <c r="A13" s="10" t="s">
        <v>56</v>
      </c>
      <c r="B13" s="7"/>
      <c r="C13" s="7"/>
      <c r="D13" s="7"/>
      <c r="E13" s="7"/>
      <c r="F13" s="7"/>
      <c r="G13" s="7"/>
      <c r="H13" s="7"/>
      <c r="I13" s="7"/>
      <c r="J13" s="7"/>
      <c r="L13" s="7"/>
      <c r="M13" s="7"/>
      <c r="N13" s="7"/>
      <c r="O13" s="7"/>
      <c r="P13" s="7"/>
      <c r="Q13" s="7"/>
      <c r="R13" s="7"/>
      <c r="S13" s="7"/>
      <c r="T13" s="7"/>
      <c r="U13" s="7" t="s">
        <v>57</v>
      </c>
      <c r="AA13" s="7"/>
      <c r="AB13" s="7">
        <v>20</v>
      </c>
      <c r="AC13" s="7"/>
      <c r="AD13" s="7"/>
      <c r="AE13" s="9">
        <v>1.3888888888888889E-3</v>
      </c>
      <c r="AF13" s="7">
        <v>120</v>
      </c>
    </row>
    <row r="14" spans="1:33" x14ac:dyDescent="0.25">
      <c r="A14" s="1" t="s">
        <v>58</v>
      </c>
      <c r="B14" s="7">
        <f t="shared" ref="B14:B20" si="5">($C$4-$H$4-(2*$F$4))*(1+$AB$9%)</f>
        <v>107.46120000000001</v>
      </c>
      <c r="C14" s="7">
        <f t="shared" ref="C14:C20" si="6">(U4-4*U14)*(100-$AA$4)/100*(1+$AB$5%)*(1+$AB$7%)*(1+$AB$9%)</f>
        <v>181.28220000000002</v>
      </c>
      <c r="D14" s="7">
        <v>45</v>
      </c>
      <c r="E14" s="7">
        <f>U14*(100-$AA$4)/100*(1+$AB$5%)*(1+$AB$7%)*(1+$AB$9%)</f>
        <v>11.579700000000003</v>
      </c>
      <c r="F14" s="7">
        <f t="shared" ref="F14:F20" si="7">U14*(100-$AA$4)/100*(1+$AB$5%)*(1+$AB$7%)*(1+$AB$9%)+$U$22*(100-$AA$4)/100</f>
        <v>19.979700000000001</v>
      </c>
      <c r="G14" s="7">
        <f>(U14+$U$24)*(100-$AA$4)/100*(1+$AB$5%)*(1+$AB$7%)*(1+$AB$9%)</f>
        <v>25.95450000000001</v>
      </c>
      <c r="H14" s="7"/>
      <c r="I14" s="7"/>
      <c r="J14" s="7"/>
      <c r="L14" s="7"/>
      <c r="M14" s="7"/>
      <c r="N14" s="7"/>
      <c r="O14" s="7"/>
      <c r="P14" s="7"/>
      <c r="Q14" s="7"/>
      <c r="R14" s="7"/>
      <c r="S14" s="7"/>
      <c r="T14" s="7"/>
      <c r="U14" s="7">
        <v>14.5</v>
      </c>
      <c r="AA14" s="7"/>
      <c r="AB14" s="1" t="s">
        <v>59</v>
      </c>
      <c r="AC14" s="7"/>
      <c r="AD14" s="7"/>
      <c r="AE14" s="9" t="s">
        <v>60</v>
      </c>
      <c r="AF14" s="7" t="s">
        <v>49</v>
      </c>
    </row>
    <row r="15" spans="1:33" x14ac:dyDescent="0.25">
      <c r="A15" s="1" t="s">
        <v>61</v>
      </c>
      <c r="B15" s="7">
        <f t="shared" si="5"/>
        <v>107.46120000000001</v>
      </c>
      <c r="C15" s="7">
        <f t="shared" si="6"/>
        <v>195.65700000000004</v>
      </c>
      <c r="D15" s="7">
        <v>45</v>
      </c>
      <c r="E15" s="7">
        <f t="shared" ref="E15:E20" si="8">U15*(100-$AA$4)/100*(1+$AB$5%)*(1+$AB$7%)*(1+$AB$9%)</f>
        <v>13.576200000000004</v>
      </c>
      <c r="F15" s="7">
        <f t="shared" si="7"/>
        <v>21.976200000000006</v>
      </c>
      <c r="G15" s="7">
        <f>(U15+$U$24)*(100-$AA$4)/100*(1+$AB$5%)*(1+$AB$7%)*(1+$AB$9%)</f>
        <v>27.951000000000008</v>
      </c>
      <c r="H15" s="7"/>
      <c r="I15" s="7"/>
      <c r="J15" s="7"/>
      <c r="L15" s="7"/>
      <c r="M15" s="7"/>
      <c r="N15" s="7"/>
      <c r="O15" s="7"/>
      <c r="P15" s="7"/>
      <c r="Q15" s="7"/>
      <c r="R15" s="7"/>
      <c r="S15" s="7"/>
      <c r="T15" s="7"/>
      <c r="U15" s="7">
        <v>17</v>
      </c>
      <c r="AA15" s="7"/>
      <c r="AB15" s="7">
        <v>20</v>
      </c>
      <c r="AC15" s="7"/>
      <c r="AD15" s="7"/>
      <c r="AE15" s="9">
        <v>3.4722222222222224E-4</v>
      </c>
      <c r="AF15" s="7">
        <v>150</v>
      </c>
    </row>
    <row r="16" spans="1:33" x14ac:dyDescent="0.25">
      <c r="A16" s="1" t="s">
        <v>62</v>
      </c>
      <c r="B16" s="7">
        <f t="shared" si="5"/>
        <v>107.46120000000001</v>
      </c>
      <c r="C16" s="7">
        <f t="shared" si="6"/>
        <v>209.23320000000001</v>
      </c>
      <c r="D16" s="7">
        <v>45</v>
      </c>
      <c r="E16" s="7">
        <f t="shared" si="8"/>
        <v>15.572700000000003</v>
      </c>
      <c r="F16" s="7">
        <f t="shared" si="7"/>
        <v>23.972700000000003</v>
      </c>
      <c r="G16" s="7">
        <f>(U16+$U$24)*(100-$AA$4)/100*(1+$AB$5%)*(1+$AB$7%)*(1+$AB$9%)</f>
        <v>29.947500000000009</v>
      </c>
      <c r="H16" s="7"/>
      <c r="I16" s="7"/>
      <c r="J16" s="7"/>
      <c r="L16" s="7"/>
      <c r="M16" s="7"/>
      <c r="N16" s="7"/>
      <c r="O16" s="7"/>
      <c r="P16" s="7"/>
      <c r="Q16" s="7"/>
      <c r="R16" s="7"/>
      <c r="S16" s="7"/>
      <c r="T16" s="7"/>
      <c r="U16" s="7">
        <v>19.5</v>
      </c>
      <c r="AA16" s="7"/>
      <c r="AC16" s="7"/>
      <c r="AD16" s="7"/>
      <c r="AE16" s="9" t="s">
        <v>63</v>
      </c>
      <c r="AF16" s="7" t="s">
        <v>64</v>
      </c>
    </row>
    <row r="17" spans="1:32" x14ac:dyDescent="0.25">
      <c r="A17" s="1" t="s">
        <v>65</v>
      </c>
      <c r="B17" s="7">
        <f t="shared" si="5"/>
        <v>107.46120000000001</v>
      </c>
      <c r="C17" s="7">
        <f t="shared" si="6"/>
        <v>218.01780000000008</v>
      </c>
      <c r="D17" s="7">
        <v>58</v>
      </c>
      <c r="E17" s="7">
        <f t="shared" si="8"/>
        <v>18.367800000000006</v>
      </c>
      <c r="F17" s="7">
        <f t="shared" si="7"/>
        <v>26.767800000000008</v>
      </c>
      <c r="G17" s="7">
        <f>(U17+$U$24)*(100-$AA$4)/100*(1+$AB$5%)*(1+$AB$7%)*(1+$AB$9%)</f>
        <v>32.74260000000001</v>
      </c>
      <c r="H17" s="7"/>
      <c r="I17" s="7"/>
      <c r="J17" s="7"/>
      <c r="L17" s="7"/>
      <c r="M17" s="7"/>
      <c r="N17" s="7"/>
      <c r="O17" s="7"/>
      <c r="P17" s="7"/>
      <c r="Q17" s="7"/>
      <c r="R17" s="7"/>
      <c r="S17" s="7"/>
      <c r="T17" s="7"/>
      <c r="U17" s="7">
        <v>23</v>
      </c>
      <c r="AA17" s="7"/>
      <c r="AB17" s="7" t="s">
        <v>66</v>
      </c>
      <c r="AC17" s="7"/>
      <c r="AD17" s="7"/>
      <c r="AE17" s="9">
        <v>1.9097222222222222E-3</v>
      </c>
      <c r="AF17" s="7">
        <v>120</v>
      </c>
    </row>
    <row r="18" spans="1:32" x14ac:dyDescent="0.25">
      <c r="A18" s="1" t="s">
        <v>67</v>
      </c>
      <c r="B18" s="7">
        <f t="shared" si="5"/>
        <v>107.46120000000001</v>
      </c>
      <c r="C18" s="7">
        <f t="shared" si="6"/>
        <v>235.58700000000007</v>
      </c>
      <c r="D18" s="7">
        <v>58</v>
      </c>
      <c r="E18" s="7">
        <f t="shared" si="8"/>
        <v>21.162900000000008</v>
      </c>
      <c r="F18" s="7">
        <f t="shared" si="7"/>
        <v>29.562900000000006</v>
      </c>
      <c r="G18" s="7">
        <f>(U18+$U$24)*(100-$AA$4)/100*(1+$AB$5%)*(1+$AB$7%)*(1+$AB$9%)</f>
        <v>35.537700000000008</v>
      </c>
      <c r="H18" s="7"/>
      <c r="I18" s="7"/>
      <c r="J18" s="7"/>
      <c r="L18" s="7"/>
      <c r="M18" s="7"/>
      <c r="N18" s="7"/>
      <c r="O18" s="7"/>
      <c r="P18" s="7"/>
      <c r="Q18" s="7"/>
      <c r="R18" s="7"/>
      <c r="S18" s="7"/>
      <c r="T18" s="7"/>
      <c r="U18" s="7">
        <v>26.5</v>
      </c>
      <c r="AA18" s="7"/>
      <c r="AB18" s="7" t="s">
        <v>3</v>
      </c>
      <c r="AC18" s="7"/>
      <c r="AD18" s="7"/>
      <c r="AE18" s="9" t="s">
        <v>68</v>
      </c>
      <c r="AF18" s="7" t="s">
        <v>69</v>
      </c>
    </row>
    <row r="19" spans="1:32" x14ac:dyDescent="0.25">
      <c r="A19" s="1" t="s">
        <v>70</v>
      </c>
      <c r="B19" s="7">
        <f t="shared" si="5"/>
        <v>107.46120000000001</v>
      </c>
      <c r="C19" s="7">
        <f t="shared" si="6"/>
        <v>255.55200000000008</v>
      </c>
      <c r="D19" s="7">
        <v>68</v>
      </c>
      <c r="E19" s="7">
        <f t="shared" si="8"/>
        <v>23.558700000000009</v>
      </c>
      <c r="F19" s="7">
        <f t="shared" si="7"/>
        <v>31.958700000000007</v>
      </c>
      <c r="G19" s="7">
        <f>(U19+$U$25)*(100-$AA$4)/100*(1+$AB$5%)*(1+$AB$7%)*(1+$AB$9%)</f>
        <v>45.120900000000013</v>
      </c>
      <c r="H19" s="7"/>
      <c r="I19" s="7"/>
      <c r="J19" s="7"/>
      <c r="L19" s="7"/>
      <c r="M19" s="7"/>
      <c r="N19" s="7"/>
      <c r="O19" s="7"/>
      <c r="P19" s="7"/>
      <c r="Q19" s="7"/>
      <c r="R19" s="7"/>
      <c r="S19" s="7"/>
      <c r="T19" s="7"/>
      <c r="U19" s="7">
        <v>29.5</v>
      </c>
      <c r="AA19" s="7"/>
      <c r="AB19" s="7"/>
      <c r="AC19" s="7"/>
      <c r="AD19" s="7"/>
      <c r="AE19" s="9">
        <v>6.9444444444444447E-4</v>
      </c>
      <c r="AF19" s="7">
        <v>74</v>
      </c>
    </row>
    <row r="20" spans="1:32" x14ac:dyDescent="0.25">
      <c r="A20" s="1" t="s">
        <v>71</v>
      </c>
      <c r="B20" s="7">
        <f t="shared" si="5"/>
        <v>107.46120000000001</v>
      </c>
      <c r="C20" s="7">
        <f t="shared" si="6"/>
        <v>263.53800000000007</v>
      </c>
      <c r="D20" s="7">
        <v>68</v>
      </c>
      <c r="E20" s="7">
        <f t="shared" si="8"/>
        <v>27.951000000000008</v>
      </c>
      <c r="F20" s="7">
        <f t="shared" si="7"/>
        <v>36.351000000000006</v>
      </c>
      <c r="G20" s="7">
        <f>(U20+$U$25)*(100-$AA$4)/100*(1+$AB$5%)*(1+$AB$7%)*(1+$AB$9%)</f>
        <v>49.513200000000019</v>
      </c>
      <c r="H20" s="7"/>
      <c r="I20" s="7"/>
      <c r="J20" s="7"/>
      <c r="L20" s="7"/>
      <c r="M20" s="7"/>
      <c r="N20" s="7"/>
      <c r="O20" s="7"/>
      <c r="P20" s="7"/>
      <c r="Q20" s="7"/>
      <c r="R20" s="7"/>
      <c r="S20" s="7"/>
      <c r="T20" s="7"/>
      <c r="U20" s="7">
        <v>35</v>
      </c>
      <c r="AA20" s="7"/>
      <c r="AB20" s="7" t="s">
        <v>72</v>
      </c>
      <c r="AC20" s="7"/>
      <c r="AD20" s="7"/>
      <c r="AE20" s="9" t="s">
        <v>73</v>
      </c>
    </row>
    <row r="21" spans="1:32" x14ac:dyDescent="0.25">
      <c r="A21" s="10" t="s">
        <v>74</v>
      </c>
      <c r="B21" s="7"/>
      <c r="C21" s="7"/>
      <c r="D21" s="7"/>
      <c r="E21" s="7"/>
      <c r="F21" s="7"/>
      <c r="G21" s="7"/>
      <c r="H21" s="7"/>
      <c r="I21" s="7"/>
      <c r="J21" s="7"/>
      <c r="L21" s="7"/>
      <c r="M21" s="7"/>
      <c r="N21" s="7"/>
      <c r="O21" s="7"/>
      <c r="P21" s="7"/>
      <c r="Q21" s="7"/>
      <c r="R21" s="7"/>
      <c r="S21" s="7"/>
      <c r="T21" s="7"/>
      <c r="U21" s="7" t="s">
        <v>75</v>
      </c>
      <c r="AA21" s="7"/>
      <c r="AB21" s="7"/>
      <c r="AC21" s="7"/>
      <c r="AD21" s="7"/>
      <c r="AE21" s="9" t="s">
        <v>76</v>
      </c>
    </row>
    <row r="22" spans="1:32" x14ac:dyDescent="0.25">
      <c r="A22" s="1" t="s">
        <v>58</v>
      </c>
      <c r="B22" s="7">
        <f t="shared" ref="B22:B28" si="9">($C$4-$H$4-(2*$F$4))*(1+$AB$13%)</f>
        <v>117.23039999999999</v>
      </c>
      <c r="C22" s="7">
        <f t="shared" ref="C22:C28" si="10">(U4-4*U14)*(100-$AA$4)/100*(1+$AB$5%)*(1+$AB$7%)*(1+$AB$13%)</f>
        <v>197.76239999999999</v>
      </c>
      <c r="D22" s="7">
        <v>45</v>
      </c>
      <c r="E22" s="7">
        <f t="shared" ref="E22:E28" si="11">U14*(100-$AA$4)/100*(1+$AB$5%)*(1+$AB$7%)*(1+$AB$13%)</f>
        <v>12.632400000000001</v>
      </c>
      <c r="F22" s="7">
        <f t="shared" ref="F22:F28" si="12">U14*(100-$AA$4)/100*(1+$AB$5%)*(1+$AB$7%)*(1+$AB$13%)+$U$22*(100-$AA$4)/100</f>
        <v>21.032400000000003</v>
      </c>
      <c r="G22" s="7">
        <f>(U14+$U$24)*(100-$AA$4)/100*(1+$AB$5%)*(1+$AB$7%)*(1+$AB$13%)</f>
        <v>28.314000000000007</v>
      </c>
      <c r="H22" s="7"/>
      <c r="I22" s="7"/>
      <c r="J22" s="7"/>
      <c r="L22" s="7"/>
      <c r="M22" s="7"/>
      <c r="N22" s="7"/>
      <c r="O22" s="7"/>
      <c r="P22" s="7"/>
      <c r="Q22" s="7"/>
      <c r="R22" s="7"/>
      <c r="S22" s="7"/>
      <c r="T22" s="7"/>
      <c r="U22" s="7">
        <v>14</v>
      </c>
      <c r="AA22" s="7"/>
      <c r="AB22" s="7"/>
      <c r="AC22" s="7"/>
      <c r="AD22" s="7"/>
      <c r="AE22" s="9">
        <v>6.9444444444444447E-4</v>
      </c>
    </row>
    <row r="23" spans="1:32" x14ac:dyDescent="0.25">
      <c r="A23" s="1" t="s">
        <v>61</v>
      </c>
      <c r="B23" s="7">
        <f t="shared" si="9"/>
        <v>117.23039999999999</v>
      </c>
      <c r="C23" s="7">
        <f t="shared" si="10"/>
        <v>213.44400000000005</v>
      </c>
      <c r="D23" s="7">
        <v>45</v>
      </c>
      <c r="E23" s="7">
        <f t="shared" si="11"/>
        <v>14.810400000000001</v>
      </c>
      <c r="F23" s="7">
        <f t="shared" si="12"/>
        <v>23.2104</v>
      </c>
      <c r="G23" s="7">
        <f>(U15+$U$24)*(100-$AA$4)/100*(1+$AB$5%)*(1+$AB$7%)*(1+$AB$13%)</f>
        <v>30.492000000000004</v>
      </c>
      <c r="H23" s="7"/>
      <c r="I23" s="7"/>
      <c r="J23" s="7"/>
      <c r="L23" s="7"/>
      <c r="M23" s="7"/>
      <c r="N23" s="7"/>
      <c r="O23" s="7"/>
      <c r="P23" s="7"/>
      <c r="Q23" s="7"/>
      <c r="R23" s="7"/>
      <c r="S23" s="7"/>
      <c r="T23" s="7"/>
      <c r="U23" s="7" t="s">
        <v>77</v>
      </c>
      <c r="AA23" s="7"/>
      <c r="AB23" s="7"/>
      <c r="AC23" s="7"/>
      <c r="AD23" s="7"/>
      <c r="AE23" s="9"/>
    </row>
    <row r="24" spans="1:32" x14ac:dyDescent="0.25">
      <c r="A24" s="1" t="s">
        <v>62</v>
      </c>
      <c r="B24" s="7">
        <f t="shared" si="9"/>
        <v>117.23039999999999</v>
      </c>
      <c r="C24" s="7">
        <f t="shared" si="10"/>
        <v>228.25439999999998</v>
      </c>
      <c r="D24" s="7">
        <v>45</v>
      </c>
      <c r="E24" s="7">
        <f t="shared" si="11"/>
        <v>16.988400000000002</v>
      </c>
      <c r="F24" s="7">
        <f t="shared" si="12"/>
        <v>25.388400000000004</v>
      </c>
      <c r="G24" s="7">
        <f>(U16+$U$24)*(100-$AA$4)/100*(1+$AB$5%)*(1+$AB$7%)*(1+$AB$13%)</f>
        <v>32.67</v>
      </c>
      <c r="H24" s="7"/>
      <c r="I24" s="7"/>
      <c r="J24" s="7"/>
      <c r="L24" s="7"/>
      <c r="M24" s="7"/>
      <c r="N24" s="7"/>
      <c r="O24" s="7"/>
      <c r="P24" s="7"/>
      <c r="Q24" s="7"/>
      <c r="R24" s="7"/>
      <c r="S24" s="7"/>
      <c r="T24" s="7"/>
      <c r="U24" s="7">
        <v>18</v>
      </c>
      <c r="AA24" s="7"/>
      <c r="AB24" s="7"/>
      <c r="AC24" s="7"/>
      <c r="AD24" s="7"/>
      <c r="AE24" s="9" t="s">
        <v>78</v>
      </c>
    </row>
    <row r="25" spans="1:32" x14ac:dyDescent="0.25">
      <c r="A25" s="1" t="s">
        <v>65</v>
      </c>
      <c r="B25" s="7">
        <f t="shared" si="9"/>
        <v>117.23039999999999</v>
      </c>
      <c r="C25" s="7">
        <f t="shared" si="10"/>
        <v>237.83760000000007</v>
      </c>
      <c r="D25" s="7">
        <v>58</v>
      </c>
      <c r="E25" s="7">
        <f t="shared" si="11"/>
        <v>20.037600000000005</v>
      </c>
      <c r="F25" s="7">
        <f t="shared" si="12"/>
        <v>28.437600000000003</v>
      </c>
      <c r="G25" s="7">
        <f>(U17+$U$24)*(100-$AA$4)/100*(1+$AB$5%)*(1+$AB$7%)*(1+$AB$13%)</f>
        <v>35.719200000000008</v>
      </c>
      <c r="H25" s="7"/>
      <c r="I25" s="7"/>
      <c r="J25" s="7"/>
      <c r="L25" s="7"/>
      <c r="M25" s="7"/>
      <c r="N25" s="7"/>
      <c r="O25" s="7"/>
      <c r="P25" s="7"/>
      <c r="Q25" s="7"/>
      <c r="R25" s="7"/>
      <c r="S25" s="7"/>
      <c r="T25" s="7"/>
      <c r="U25" s="7">
        <v>27</v>
      </c>
      <c r="AA25" s="7"/>
      <c r="AB25" s="7"/>
      <c r="AC25" s="7"/>
      <c r="AD25" s="7"/>
      <c r="AE25" s="9"/>
    </row>
    <row r="26" spans="1:32" x14ac:dyDescent="0.25">
      <c r="A26" s="1" t="s">
        <v>67</v>
      </c>
      <c r="B26" s="7">
        <f t="shared" si="9"/>
        <v>117.23039999999999</v>
      </c>
      <c r="C26" s="7">
        <f t="shared" si="10"/>
        <v>257.00400000000002</v>
      </c>
      <c r="D26" s="7">
        <v>58</v>
      </c>
      <c r="E26" s="7">
        <f t="shared" si="11"/>
        <v>23.086800000000004</v>
      </c>
      <c r="F26" s="7">
        <f t="shared" si="12"/>
        <v>31.486800000000002</v>
      </c>
      <c r="G26" s="7">
        <f>(U18+$U$24)*(100-$AA$4)/100*(1+$AB$5%)*(1+$AB$7%)*(1+$AB$13%)</f>
        <v>38.7684</v>
      </c>
      <c r="H26" s="7"/>
      <c r="I26" s="7"/>
      <c r="J26" s="7"/>
      <c r="L26" s="7"/>
      <c r="M26" s="7"/>
      <c r="N26" s="7"/>
      <c r="O26" s="7"/>
      <c r="P26" s="7"/>
      <c r="Q26" s="7"/>
      <c r="R26" s="7"/>
      <c r="S26" s="7"/>
      <c r="T26" s="7"/>
      <c r="U26" s="7" t="s">
        <v>79</v>
      </c>
      <c r="AA26" s="7"/>
      <c r="AB26" s="7"/>
      <c r="AC26" s="7"/>
      <c r="AD26" s="7"/>
      <c r="AE26" s="9" t="s">
        <v>80</v>
      </c>
    </row>
    <row r="27" spans="1:32" x14ac:dyDescent="0.25">
      <c r="A27" s="1" t="s">
        <v>70</v>
      </c>
      <c r="B27" s="7">
        <f t="shared" si="9"/>
        <v>117.23039999999999</v>
      </c>
      <c r="C27" s="7">
        <f t="shared" si="10"/>
        <v>278.78400000000005</v>
      </c>
      <c r="D27" s="7">
        <v>68</v>
      </c>
      <c r="E27" s="7">
        <f t="shared" si="11"/>
        <v>25.700400000000005</v>
      </c>
      <c r="F27" s="7">
        <f t="shared" si="12"/>
        <v>34.100400000000008</v>
      </c>
      <c r="G27" s="7">
        <f>(U19+$U$25)*(100-$AA$4)/100*(1+$AB$5%)*(1+$AB$7%)*(1+$AB$13%)</f>
        <v>49.222800000000007</v>
      </c>
      <c r="H27" s="7"/>
      <c r="I27" s="7"/>
      <c r="J27" s="7"/>
      <c r="L27" s="7"/>
      <c r="M27" s="7"/>
      <c r="N27" s="7"/>
      <c r="O27" s="7"/>
      <c r="P27" s="7"/>
      <c r="Q27" s="7"/>
      <c r="R27" s="7"/>
      <c r="S27" s="7"/>
      <c r="T27" s="7"/>
      <c r="U27" s="7">
        <v>1265</v>
      </c>
      <c r="AA27" s="7"/>
      <c r="AB27" s="7"/>
      <c r="AC27" s="7"/>
      <c r="AD27" s="7"/>
      <c r="AE27" s="9">
        <v>2.0833333333333333E-3</v>
      </c>
    </row>
    <row r="28" spans="1:32" x14ac:dyDescent="0.25">
      <c r="A28" s="1" t="s">
        <v>71</v>
      </c>
      <c r="B28" s="7">
        <f t="shared" si="9"/>
        <v>117.23039999999999</v>
      </c>
      <c r="C28" s="7">
        <f t="shared" si="10"/>
        <v>287.49600000000004</v>
      </c>
      <c r="D28" s="7">
        <v>68</v>
      </c>
      <c r="E28" s="7">
        <f t="shared" si="11"/>
        <v>30.492000000000004</v>
      </c>
      <c r="F28" s="7">
        <f t="shared" si="12"/>
        <v>38.892000000000003</v>
      </c>
      <c r="G28" s="7">
        <f>(U20+$U$25)*(100-$AA$4)/100*(1+$AB$5%)*(1+$AB$7%)*(1+$AB$13%)</f>
        <v>54.014400000000016</v>
      </c>
      <c r="H28" s="7"/>
      <c r="I28" s="7"/>
      <c r="J28" s="7"/>
      <c r="L28" s="7"/>
      <c r="M28" s="7"/>
      <c r="N28" s="7"/>
      <c r="O28" s="7"/>
      <c r="P28" s="7"/>
      <c r="Q28" s="7"/>
      <c r="R28" s="7"/>
      <c r="S28" s="7"/>
      <c r="T28" s="7"/>
      <c r="U28" s="7" t="s">
        <v>66</v>
      </c>
      <c r="AA28" s="7"/>
      <c r="AB28" s="7"/>
      <c r="AC28" s="7"/>
      <c r="AD28" s="7"/>
      <c r="AE28" s="9"/>
    </row>
    <row r="29" spans="1:32" x14ac:dyDescent="0.25">
      <c r="A29" s="1" t="s">
        <v>79</v>
      </c>
      <c r="B29" s="7"/>
      <c r="C29" s="7">
        <f>U27*(100-$AA$4)/100*(1+$AB$5%)*(1+$AB$7%)-(4*I29)+J9</f>
        <v>457.0870000000001</v>
      </c>
      <c r="D29" s="7">
        <v>130</v>
      </c>
      <c r="E29" s="7">
        <f>(U14+(U27/8))*(100-$AA$4)/100*(1+$AB$5%)*(1+$AB$7%)</f>
        <v>125.32575000000003</v>
      </c>
      <c r="F29" s="7">
        <f>(U14+(U27/8))*(100-$AA$4)/100*(1+$AB$5%)*(1+$AB$7%)+$U$22*(100-$AA$4)/100</f>
        <v>133.72575000000003</v>
      </c>
      <c r="G29" s="7"/>
      <c r="H29" s="7">
        <f>C30+E29</f>
        <v>165.32575000000003</v>
      </c>
      <c r="I29" s="7">
        <f>(U14+(U27/8))*(100-$AA$4)/100*(1+$AB$5%)*(1+$AB$7%)</f>
        <v>125.32575000000003</v>
      </c>
      <c r="J29" s="7">
        <f>(U14+(U27/8))*(100-$AA$4)/100*(1+$AB$5%)*(1+$AB$7%)+$U$22*(100-$AA$4)/100</f>
        <v>133.72575000000003</v>
      </c>
      <c r="L29" s="7"/>
      <c r="M29" s="7"/>
      <c r="N29" s="7"/>
      <c r="O29" s="7"/>
      <c r="P29" s="7"/>
      <c r="Q29" s="7"/>
      <c r="R29" s="7"/>
      <c r="S29" s="7"/>
      <c r="T29" s="7"/>
      <c r="U29" s="7" t="s">
        <v>81</v>
      </c>
      <c r="AA29" s="7"/>
      <c r="AB29" s="7"/>
      <c r="AC29" s="7"/>
      <c r="AD29" s="7"/>
      <c r="AE29" s="9">
        <v>3.472222222222222E-3</v>
      </c>
    </row>
    <row r="30" spans="1:32" x14ac:dyDescent="0.25">
      <c r="B30" s="1" t="s">
        <v>44</v>
      </c>
      <c r="C30" s="1">
        <v>40</v>
      </c>
      <c r="D30" s="1" t="s">
        <v>38</v>
      </c>
      <c r="E30" s="1">
        <v>40</v>
      </c>
      <c r="U30" s="7">
        <v>340</v>
      </c>
      <c r="AE30" s="9"/>
    </row>
    <row r="31" spans="1:32" x14ac:dyDescent="0.25">
      <c r="A31" s="11" t="s">
        <v>82</v>
      </c>
      <c r="C31" s="14">
        <v>0.2</v>
      </c>
      <c r="U31" s="7" t="s">
        <v>83</v>
      </c>
      <c r="AE31" s="9" t="s">
        <v>84</v>
      </c>
    </row>
    <row r="32" spans="1:32" x14ac:dyDescent="0.25">
      <c r="B32" s="7"/>
      <c r="D32" s="7"/>
      <c r="E32" s="7"/>
      <c r="F32" s="7"/>
      <c r="G32" s="7"/>
      <c r="H32" s="7"/>
      <c r="I32" s="7"/>
      <c r="J32" s="7"/>
      <c r="L32" s="7"/>
      <c r="M32" s="7"/>
      <c r="N32" s="7"/>
      <c r="U32" s="7">
        <v>340</v>
      </c>
      <c r="AE32" s="9"/>
    </row>
    <row r="33" spans="1:31" x14ac:dyDescent="0.25">
      <c r="A33" s="7">
        <v>390</v>
      </c>
      <c r="B33" s="7"/>
      <c r="C33" s="7">
        <f>(((3*A33/1000+2.4)*0.51)+0.39*0.18)*$AC$5</f>
        <v>35.170740000000002</v>
      </c>
      <c r="D33" s="7"/>
      <c r="E33" s="7"/>
      <c r="F33" s="7"/>
      <c r="G33" s="7"/>
      <c r="H33" s="7"/>
      <c r="I33" s="7"/>
      <c r="J33" s="7"/>
      <c r="L33" s="7"/>
      <c r="M33" s="7"/>
      <c r="N33" s="7"/>
      <c r="U33" s="7" t="s">
        <v>85</v>
      </c>
      <c r="AE33" s="9"/>
    </row>
    <row r="34" spans="1:31" x14ac:dyDescent="0.25">
      <c r="A34" s="1">
        <v>390</v>
      </c>
      <c r="B34" s="7"/>
      <c r="C34" s="7">
        <f>(((3*A34/1000+2.4)*0.51+0.39*0.18)*$AC$5)+((3*A34/1000+2.4)*$AD$5)+(21*$AE$6*$AF$9)+(((5*$AE$13)+(12*$AE$15)+$AE$17)*$AF$15)+(5*$AE$22*$AF$13)+((4*$AE28+$AE$29)*$AF$7)</f>
        <v>40.329031666666673</v>
      </c>
      <c r="D34" s="7"/>
      <c r="E34" s="7"/>
      <c r="F34" s="7"/>
      <c r="G34" s="7"/>
      <c r="H34" s="7"/>
      <c r="I34" s="7"/>
      <c r="J34" s="7"/>
      <c r="L34" s="7"/>
      <c r="M34" s="7"/>
      <c r="N34" s="7"/>
      <c r="U34" s="7">
        <v>163</v>
      </c>
    </row>
    <row r="35" spans="1:31" x14ac:dyDescent="0.25">
      <c r="A35" s="1" t="s">
        <v>62</v>
      </c>
      <c r="B35" s="7"/>
      <c r="C35" s="7">
        <f>(21*$AE$6*$AF$9)</f>
        <v>0.7</v>
      </c>
      <c r="D35" s="7"/>
      <c r="E35" s="7"/>
      <c r="F35" s="7"/>
      <c r="G35" s="7"/>
      <c r="H35" s="7"/>
      <c r="I35" s="7"/>
      <c r="J35" s="7"/>
      <c r="L35" s="7"/>
      <c r="M35" s="7"/>
      <c r="N35" s="7"/>
      <c r="U35" s="7" t="s">
        <v>86</v>
      </c>
    </row>
    <row r="36" spans="1:31" x14ac:dyDescent="0.25">
      <c r="A36" s="1" t="s">
        <v>65</v>
      </c>
      <c r="B36" s="7"/>
      <c r="C36" s="7"/>
      <c r="D36" s="7"/>
      <c r="E36" s="7"/>
      <c r="F36" s="7"/>
      <c r="G36" s="7"/>
      <c r="H36" s="7"/>
      <c r="I36" s="7"/>
      <c r="J36" s="7"/>
      <c r="L36" s="7"/>
      <c r="M36" s="7"/>
      <c r="N36" s="7"/>
      <c r="U36" s="7">
        <v>60</v>
      </c>
    </row>
    <row r="37" spans="1:31" x14ac:dyDescent="0.25">
      <c r="A37" s="1" t="s">
        <v>67</v>
      </c>
      <c r="B37" s="7"/>
      <c r="C37" s="7"/>
      <c r="D37" s="7"/>
      <c r="E37" s="7"/>
      <c r="F37" s="7"/>
      <c r="G37" s="7"/>
      <c r="H37" s="7"/>
      <c r="I37" s="7"/>
      <c r="J37" s="7"/>
      <c r="L37" s="7"/>
      <c r="M37" s="7"/>
      <c r="N37" s="7"/>
      <c r="U37" s="7" t="s">
        <v>87</v>
      </c>
    </row>
    <row r="38" spans="1:31" x14ac:dyDescent="0.25">
      <c r="A38" s="1" t="s">
        <v>70</v>
      </c>
      <c r="B38" s="7"/>
      <c r="C38" s="7"/>
      <c r="D38" s="7"/>
      <c r="E38" s="7"/>
      <c r="F38" s="7"/>
      <c r="G38" s="7"/>
      <c r="H38" s="7"/>
      <c r="I38" s="7"/>
      <c r="J38" s="7"/>
      <c r="L38" s="7"/>
      <c r="M38" s="7"/>
      <c r="N38" s="7"/>
      <c r="U38" s="7">
        <v>200</v>
      </c>
    </row>
    <row r="39" spans="1:31" x14ac:dyDescent="0.25">
      <c r="A39" s="1" t="s">
        <v>71</v>
      </c>
      <c r="U39" s="16" t="s">
        <v>88</v>
      </c>
      <c r="V39" s="16"/>
      <c r="W39" s="16"/>
      <c r="X39" s="16"/>
      <c r="Y39" s="16"/>
      <c r="Z39" s="16"/>
    </row>
    <row r="40" spans="1:31" x14ac:dyDescent="0.25">
      <c r="U40" s="16">
        <v>0.12</v>
      </c>
      <c r="V40" s="16"/>
      <c r="W40" s="16"/>
      <c r="X40" s="16"/>
      <c r="Y40" s="16"/>
      <c r="Z40" s="16"/>
    </row>
    <row r="41" spans="1:31" x14ac:dyDescent="0.25">
      <c r="A41" s="1" t="s">
        <v>89</v>
      </c>
      <c r="C41" s="17">
        <v>104</v>
      </c>
      <c r="U41" s="16" t="s">
        <v>90</v>
      </c>
      <c r="V41" s="16"/>
      <c r="W41" s="16"/>
      <c r="X41" s="16"/>
      <c r="Y41" s="16"/>
      <c r="Z41" s="16"/>
    </row>
    <row r="42" spans="1:31" x14ac:dyDescent="0.25">
      <c r="A42" s="1" t="s">
        <v>91</v>
      </c>
      <c r="C42" s="17">
        <v>9</v>
      </c>
      <c r="U42" s="16">
        <v>0.25</v>
      </c>
      <c r="V42" s="16"/>
      <c r="W42" s="16"/>
      <c r="X42" s="16"/>
      <c r="Y42" s="16"/>
      <c r="Z42" s="16"/>
    </row>
    <row r="43" spans="1:31" x14ac:dyDescent="0.25">
      <c r="U43" s="16" t="s">
        <v>92</v>
      </c>
      <c r="V43" s="16"/>
      <c r="W43" s="16"/>
      <c r="X43" s="16"/>
      <c r="Y43" s="16"/>
      <c r="Z43" s="16"/>
    </row>
    <row r="44" spans="1:31" x14ac:dyDescent="0.25">
      <c r="U44" s="16">
        <v>0.4</v>
      </c>
      <c r="V44" s="16"/>
      <c r="W44" s="16"/>
      <c r="X44" s="16"/>
      <c r="Y44" s="16"/>
      <c r="Z44" s="16"/>
    </row>
    <row r="45" spans="1:31" x14ac:dyDescent="0.25">
      <c r="U45" s="16" t="s">
        <v>93</v>
      </c>
      <c r="V45" s="16"/>
      <c r="W45" s="16"/>
      <c r="X45" s="16"/>
      <c r="Y45" s="16"/>
      <c r="Z45" s="16"/>
    </row>
    <row r="46" spans="1:31" x14ac:dyDescent="0.25">
      <c r="U46" s="7">
        <v>136</v>
      </c>
    </row>
  </sheetData>
  <phoneticPr fontId="0" type="noConversion"/>
  <pageMargins left="0" right="0" top="0.23622047244094491" bottom="0.31496062992125984" header="0.27559055118110237" footer="0.39370078740157483"/>
  <pageSetup paperSize="9" scale="90" orientation="landscape" r:id="rId1"/>
  <headerFooter alignWithMargins="0"/>
  <rowBreaks count="1" manualBreakCount="1">
    <brk id="32" max="16383" man="1"/>
  </rowBreaks>
  <colBreaks count="1" manualBreakCount="1"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2:D47"/>
  <sheetViews>
    <sheetView workbookViewId="0">
      <selection activeCell="F20" sqref="F20"/>
    </sheetView>
  </sheetViews>
  <sheetFormatPr baseColWidth="10" defaultRowHeight="13.2" x14ac:dyDescent="0.25"/>
  <cols>
    <col min="1" max="1" width="25" bestFit="1" customWidth="1"/>
    <col min="2" max="2" width="25.77734375" bestFit="1" customWidth="1"/>
    <col min="4" max="4" width="13.33203125" bestFit="1" customWidth="1"/>
  </cols>
  <sheetData>
    <row r="2" spans="1:4" x14ac:dyDescent="0.25">
      <c r="A2" s="21" t="s">
        <v>102</v>
      </c>
      <c r="D2" s="21" t="s">
        <v>132</v>
      </c>
    </row>
    <row r="3" spans="1:4" x14ac:dyDescent="0.25">
      <c r="A3" t="s">
        <v>96</v>
      </c>
    </row>
    <row r="4" spans="1:4" x14ac:dyDescent="0.25">
      <c r="A4" t="s">
        <v>97</v>
      </c>
    </row>
    <row r="5" spans="1:4" x14ac:dyDescent="0.25">
      <c r="A5" t="s">
        <v>98</v>
      </c>
    </row>
    <row r="7" spans="1:4" x14ac:dyDescent="0.25">
      <c r="A7" s="22" t="s">
        <v>135</v>
      </c>
      <c r="B7" s="22" t="s">
        <v>119</v>
      </c>
    </row>
    <row r="8" spans="1:4" x14ac:dyDescent="0.25">
      <c r="A8" s="22" t="s">
        <v>134</v>
      </c>
      <c r="C8" s="22" t="s">
        <v>168</v>
      </c>
    </row>
    <row r="10" spans="1:4" x14ac:dyDescent="0.25">
      <c r="A10" s="22" t="s">
        <v>128</v>
      </c>
      <c r="B10" s="22" t="s">
        <v>131</v>
      </c>
      <c r="C10">
        <v>1</v>
      </c>
    </row>
    <row r="11" spans="1:4" x14ac:dyDescent="0.25">
      <c r="B11" s="22" t="s">
        <v>129</v>
      </c>
      <c r="C11">
        <v>1</v>
      </c>
    </row>
    <row r="12" spans="1:4" x14ac:dyDescent="0.25">
      <c r="B12" s="22" t="s">
        <v>130</v>
      </c>
      <c r="C12">
        <v>1</v>
      </c>
    </row>
    <row r="13" spans="1:4" x14ac:dyDescent="0.25">
      <c r="B13" s="22" t="s">
        <v>106</v>
      </c>
      <c r="C13">
        <v>1</v>
      </c>
    </row>
    <row r="14" spans="1:4" x14ac:dyDescent="0.25">
      <c r="A14" s="22" t="s">
        <v>3</v>
      </c>
      <c r="B14" s="22"/>
      <c r="C14" s="22" t="s">
        <v>151</v>
      </c>
    </row>
    <row r="15" spans="1:4" x14ac:dyDescent="0.25">
      <c r="A15" s="22" t="s">
        <v>111</v>
      </c>
    </row>
    <row r="16" spans="1:4" x14ac:dyDescent="0.25">
      <c r="A16" s="22" t="s">
        <v>4</v>
      </c>
      <c r="B16" s="22" t="s">
        <v>152</v>
      </c>
    </row>
    <row r="17" spans="1:2" x14ac:dyDescent="0.25">
      <c r="A17" s="22"/>
      <c r="B17" s="22" t="s">
        <v>153</v>
      </c>
    </row>
    <row r="18" spans="1:2" x14ac:dyDescent="0.25">
      <c r="A18" s="22" t="s">
        <v>5</v>
      </c>
      <c r="B18" s="22" t="s">
        <v>152</v>
      </c>
    </row>
    <row r="19" spans="1:2" x14ac:dyDescent="0.25">
      <c r="A19" s="22"/>
      <c r="B19" s="22" t="s">
        <v>153</v>
      </c>
    </row>
    <row r="20" spans="1:2" x14ac:dyDescent="0.25">
      <c r="A20" s="22" t="s">
        <v>133</v>
      </c>
      <c r="B20" s="22" t="s">
        <v>152</v>
      </c>
    </row>
    <row r="21" spans="1:2" x14ac:dyDescent="0.25">
      <c r="A21" s="22"/>
      <c r="B21" s="22" t="s">
        <v>166</v>
      </c>
    </row>
    <row r="22" spans="1:2" x14ac:dyDescent="0.25">
      <c r="A22" s="22"/>
      <c r="B22" s="22" t="s">
        <v>167</v>
      </c>
    </row>
    <row r="24" spans="1:2" x14ac:dyDescent="0.25">
      <c r="A24" s="22" t="s">
        <v>124</v>
      </c>
    </row>
    <row r="25" spans="1:2" x14ac:dyDescent="0.25">
      <c r="A25" s="22" t="s">
        <v>38</v>
      </c>
    </row>
    <row r="27" spans="1:2" x14ac:dyDescent="0.25">
      <c r="A27" s="23" t="s">
        <v>126</v>
      </c>
    </row>
    <row r="28" spans="1:2" x14ac:dyDescent="0.25">
      <c r="A28" s="22" t="s">
        <v>154</v>
      </c>
      <c r="B28" s="22" t="s">
        <v>159</v>
      </c>
    </row>
    <row r="29" spans="1:2" x14ac:dyDescent="0.25">
      <c r="A29" s="22"/>
      <c r="B29" s="22" t="s">
        <v>155</v>
      </c>
    </row>
    <row r="30" spans="1:2" x14ac:dyDescent="0.25">
      <c r="A30" s="22"/>
      <c r="B30" s="22" t="s">
        <v>156</v>
      </c>
    </row>
    <row r="31" spans="1:2" x14ac:dyDescent="0.25">
      <c r="A31" s="22" t="s">
        <v>11</v>
      </c>
    </row>
    <row r="32" spans="1:2" x14ac:dyDescent="0.25">
      <c r="A32" s="22" t="s">
        <v>12</v>
      </c>
    </row>
    <row r="33" spans="1:2" x14ac:dyDescent="0.25">
      <c r="A33" s="22" t="s">
        <v>13</v>
      </c>
    </row>
    <row r="34" spans="1:2" x14ac:dyDescent="0.25">
      <c r="A34" s="22" t="s">
        <v>165</v>
      </c>
      <c r="B34" s="22" t="s">
        <v>164</v>
      </c>
    </row>
    <row r="35" spans="1:2" x14ac:dyDescent="0.25">
      <c r="A35" s="22"/>
      <c r="B35" s="22" t="s">
        <v>157</v>
      </c>
    </row>
    <row r="36" spans="1:2" x14ac:dyDescent="0.25">
      <c r="A36" s="22" t="s">
        <v>162</v>
      </c>
      <c r="B36" s="22" t="s">
        <v>160</v>
      </c>
    </row>
    <row r="37" spans="1:2" x14ac:dyDescent="0.25">
      <c r="A37" s="22"/>
      <c r="B37" s="22" t="s">
        <v>161</v>
      </c>
    </row>
    <row r="38" spans="1:2" x14ac:dyDescent="0.25">
      <c r="A38" s="22" t="s">
        <v>163</v>
      </c>
      <c r="B38" s="22" t="s">
        <v>158</v>
      </c>
    </row>
    <row r="39" spans="1:2" x14ac:dyDescent="0.25">
      <c r="A39" s="22" t="s">
        <v>19</v>
      </c>
      <c r="B39" s="22"/>
    </row>
    <row r="44" spans="1:2" x14ac:dyDescent="0.25">
      <c r="A44" s="23" t="s">
        <v>137</v>
      </c>
    </row>
    <row r="45" spans="1:2" x14ac:dyDescent="0.25">
      <c r="A45" s="22" t="s">
        <v>138</v>
      </c>
    </row>
    <row r="46" spans="1:2" x14ac:dyDescent="0.25">
      <c r="A46" s="22" t="s">
        <v>139</v>
      </c>
    </row>
    <row r="47" spans="1:2" x14ac:dyDescent="0.25">
      <c r="A47" s="22" t="s">
        <v>140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3:B18"/>
  <sheetViews>
    <sheetView workbookViewId="0">
      <selection activeCell="A19" sqref="A19"/>
    </sheetView>
  </sheetViews>
  <sheetFormatPr baseColWidth="10" defaultRowHeight="13.2" x14ac:dyDescent="0.25"/>
  <cols>
    <col min="1" max="1" width="25.109375" bestFit="1" customWidth="1"/>
    <col min="2" max="2" width="17.5546875" bestFit="1" customWidth="1"/>
  </cols>
  <sheetData>
    <row r="3" spans="1:2" x14ac:dyDescent="0.25">
      <c r="A3" s="23" t="s">
        <v>136</v>
      </c>
    </row>
    <row r="4" spans="1:2" x14ac:dyDescent="0.25">
      <c r="A4" s="22" t="s">
        <v>112</v>
      </c>
      <c r="B4" s="22" t="s">
        <v>141</v>
      </c>
    </row>
    <row r="5" spans="1:2" x14ac:dyDescent="0.25">
      <c r="A5" s="22" t="s">
        <v>142</v>
      </c>
      <c r="B5" s="22" t="s">
        <v>143</v>
      </c>
    </row>
    <row r="6" spans="1:2" x14ac:dyDescent="0.25">
      <c r="B6" s="22" t="s">
        <v>144</v>
      </c>
    </row>
    <row r="7" spans="1:2" x14ac:dyDescent="0.25">
      <c r="A7" s="22" t="s">
        <v>113</v>
      </c>
      <c r="B7" s="22" t="s">
        <v>145</v>
      </c>
    </row>
    <row r="8" spans="1:2" x14ac:dyDescent="0.25">
      <c r="B8" s="22" t="s">
        <v>146</v>
      </c>
    </row>
    <row r="9" spans="1:2" x14ac:dyDescent="0.25">
      <c r="A9" s="22" t="s">
        <v>114</v>
      </c>
      <c r="B9" s="22" t="s">
        <v>146</v>
      </c>
    </row>
    <row r="10" spans="1:2" x14ac:dyDescent="0.25">
      <c r="A10" s="22" t="s">
        <v>115</v>
      </c>
      <c r="B10" s="22" t="s">
        <v>147</v>
      </c>
    </row>
    <row r="11" spans="1:2" x14ac:dyDescent="0.25">
      <c r="B11" s="22" t="s">
        <v>146</v>
      </c>
    </row>
    <row r="12" spans="1:2" x14ac:dyDescent="0.25">
      <c r="A12" s="22" t="s">
        <v>118</v>
      </c>
      <c r="B12" s="22" t="s">
        <v>146</v>
      </c>
    </row>
    <row r="16" spans="1:2" x14ac:dyDescent="0.25">
      <c r="A16" s="22" t="s">
        <v>148</v>
      </c>
    </row>
    <row r="17" spans="1:1" x14ac:dyDescent="0.25">
      <c r="A17" s="22" t="s">
        <v>149</v>
      </c>
    </row>
    <row r="18" spans="1:1" x14ac:dyDescent="0.25">
      <c r="A18" s="22" t="s">
        <v>150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_Schrank_Bestellung"/>
  <dimension ref="A2:D38"/>
  <sheetViews>
    <sheetView zoomScale="120" zoomScaleNormal="120" workbookViewId="0">
      <selection activeCell="B22" sqref="B22"/>
    </sheetView>
  </sheetViews>
  <sheetFormatPr baseColWidth="10" defaultColWidth="8.88671875" defaultRowHeight="13.2" x14ac:dyDescent="0.25"/>
  <cols>
    <col min="1" max="1" width="26.88671875" customWidth="1"/>
    <col min="2" max="256" width="11.44140625" customWidth="1"/>
  </cols>
  <sheetData>
    <row r="2" spans="1:4" x14ac:dyDescent="0.25">
      <c r="A2" t="s">
        <v>95</v>
      </c>
    </row>
    <row r="4" spans="1:4" x14ac:dyDescent="0.25">
      <c r="A4" t="s">
        <v>96</v>
      </c>
    </row>
    <row r="5" spans="1:4" x14ac:dyDescent="0.25">
      <c r="A5" t="s">
        <v>97</v>
      </c>
    </row>
    <row r="6" spans="1:4" x14ac:dyDescent="0.25">
      <c r="A6" t="s">
        <v>98</v>
      </c>
    </row>
    <row r="7" spans="1:4" x14ac:dyDescent="0.25">
      <c r="A7" t="s">
        <v>99</v>
      </c>
    </row>
    <row r="8" spans="1:4" x14ac:dyDescent="0.25">
      <c r="A8" t="s">
        <v>100</v>
      </c>
      <c r="B8" t="s">
        <v>119</v>
      </c>
    </row>
    <row r="9" spans="1:4" x14ac:dyDescent="0.25">
      <c r="A9" t="s">
        <v>101</v>
      </c>
    </row>
    <row r="11" spans="1:4" x14ac:dyDescent="0.25">
      <c r="B11" t="s">
        <v>102</v>
      </c>
      <c r="C11" t="s">
        <v>109</v>
      </c>
      <c r="D11" t="s">
        <v>110</v>
      </c>
    </row>
    <row r="12" spans="1:4" x14ac:dyDescent="0.25">
      <c r="A12" t="s">
        <v>121</v>
      </c>
      <c r="B12">
        <v>1</v>
      </c>
    </row>
    <row r="13" spans="1:4" x14ac:dyDescent="0.25">
      <c r="A13" t="s">
        <v>122</v>
      </c>
      <c r="B13">
        <v>1</v>
      </c>
    </row>
    <row r="14" spans="1:4" x14ac:dyDescent="0.25">
      <c r="A14" t="s">
        <v>123</v>
      </c>
      <c r="B14">
        <v>1</v>
      </c>
    </row>
    <row r="15" spans="1:4" x14ac:dyDescent="0.25">
      <c r="A15" t="s">
        <v>120</v>
      </c>
      <c r="B15" s="24" t="s">
        <v>125</v>
      </c>
    </row>
    <row r="16" spans="1:4" x14ac:dyDescent="0.25">
      <c r="A16" t="s">
        <v>103</v>
      </c>
    </row>
    <row r="17" spans="1:2" x14ac:dyDescent="0.25">
      <c r="A17" t="s">
        <v>104</v>
      </c>
    </row>
    <row r="18" spans="1:2" x14ac:dyDescent="0.25">
      <c r="A18" t="s">
        <v>44</v>
      </c>
    </row>
    <row r="19" spans="1:2" x14ac:dyDescent="0.25">
      <c r="A19" t="s">
        <v>105</v>
      </c>
      <c r="B19" s="24" t="s">
        <v>125</v>
      </c>
    </row>
    <row r="20" spans="1:2" x14ac:dyDescent="0.25">
      <c r="A20" t="s">
        <v>106</v>
      </c>
    </row>
    <row r="21" spans="1:2" x14ac:dyDescent="0.25">
      <c r="A21" t="s">
        <v>4</v>
      </c>
      <c r="B21" t="s">
        <v>125</v>
      </c>
    </row>
    <row r="22" spans="1:2" x14ac:dyDescent="0.25">
      <c r="A22" t="s">
        <v>107</v>
      </c>
      <c r="B22" s="24" t="s">
        <v>169</v>
      </c>
    </row>
    <row r="23" spans="1:2" x14ac:dyDescent="0.25">
      <c r="A23" t="s">
        <v>116</v>
      </c>
    </row>
    <row r="24" spans="1:2" x14ac:dyDescent="0.25">
      <c r="A24" t="s">
        <v>3</v>
      </c>
    </row>
    <row r="25" spans="1:2" x14ac:dyDescent="0.25">
      <c r="A25" t="s">
        <v>124</v>
      </c>
    </row>
    <row r="26" spans="1:2" x14ac:dyDescent="0.25">
      <c r="A26" t="s">
        <v>108</v>
      </c>
    </row>
    <row r="32" spans="1:2" x14ac:dyDescent="0.25">
      <c r="A32" t="s">
        <v>111</v>
      </c>
    </row>
    <row r="33" spans="1:1" x14ac:dyDescent="0.25">
      <c r="A33" t="s">
        <v>112</v>
      </c>
    </row>
    <row r="34" spans="1:1" x14ac:dyDescent="0.25">
      <c r="A34" t="s">
        <v>113</v>
      </c>
    </row>
    <row r="35" spans="1:1" x14ac:dyDescent="0.25">
      <c r="A35" t="s">
        <v>114</v>
      </c>
    </row>
    <row r="36" spans="1:1" x14ac:dyDescent="0.25">
      <c r="A36" t="s">
        <v>115</v>
      </c>
    </row>
    <row r="37" spans="1:1" x14ac:dyDescent="0.25">
      <c r="A37" t="s">
        <v>117</v>
      </c>
    </row>
    <row r="38" spans="1:1" x14ac:dyDescent="0.25">
      <c r="A38" t="s">
        <v>118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mdAbfrage1">
          <controlPr defaultSize="0" autoLine="0" altText="Abfrage1_x000a_" r:id="rId5">
            <anchor moveWithCells="1">
              <from>
                <xdr:col>6</xdr:col>
                <xdr:colOff>99060</xdr:colOff>
                <xdr:row>5</xdr:row>
                <xdr:rowOff>99060</xdr:rowOff>
              </from>
              <to>
                <xdr:col>8</xdr:col>
                <xdr:colOff>182880</xdr:colOff>
                <xdr:row>8</xdr:row>
                <xdr:rowOff>106680</xdr:rowOff>
              </to>
            </anchor>
          </controlPr>
        </control>
      </mc:Choice>
      <mc:Fallback>
        <control shapeId="1027" r:id="rId4" name="cmdAbfrage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at"/>
  <dimension ref="A1:W8"/>
  <sheetViews>
    <sheetView tabSelected="1" workbookViewId="0"/>
  </sheetViews>
  <sheetFormatPr baseColWidth="10" defaultColWidth="8.88671875" defaultRowHeight="13.2" x14ac:dyDescent="0.25"/>
  <cols>
    <col min="1" max="1" width="14.21875" bestFit="1" customWidth="1"/>
    <col min="2" max="2" width="35.6640625" bestFit="1" customWidth="1"/>
    <col min="3" max="3" width="5.88671875" bestFit="1" customWidth="1"/>
    <col min="4" max="4" width="32.88671875" bestFit="1" customWidth="1"/>
    <col min="5" max="5" width="6.5546875" bestFit="1" customWidth="1"/>
    <col min="6" max="6" width="15.5546875" bestFit="1" customWidth="1"/>
    <col min="7" max="7" width="6.5546875" customWidth="1"/>
    <col min="8" max="8" width="18.88671875" bestFit="1" customWidth="1"/>
    <col min="9" max="9" width="8.6640625" bestFit="1" customWidth="1"/>
    <col min="10" max="10" width="14.44140625" bestFit="1" customWidth="1"/>
    <col min="11" max="11" width="8.33203125" bestFit="1" customWidth="1"/>
    <col min="12" max="12" width="25.44140625" bestFit="1" customWidth="1"/>
    <col min="13" max="13" width="7.5546875" bestFit="1" customWidth="1"/>
    <col min="14" max="14" width="11.33203125" bestFit="1" customWidth="1"/>
    <col min="15" max="15" width="13.109375" bestFit="1" customWidth="1"/>
    <col min="16" max="16" width="22" bestFit="1" customWidth="1"/>
    <col min="17" max="17" width="8.6640625" bestFit="1" customWidth="1"/>
    <col min="18" max="18" width="20.109375" bestFit="1" customWidth="1"/>
    <col min="19" max="19" width="6.6640625" bestFit="1" customWidth="1"/>
    <col min="20" max="20" width="26.6640625" bestFit="1" customWidth="1"/>
    <col min="21" max="21" width="6.6640625" bestFit="1" customWidth="1"/>
    <col min="22" max="22" width="19.88671875" bestFit="1" customWidth="1"/>
    <col min="23" max="23" width="8.6640625" bestFit="1" customWidth="1"/>
    <col min="24" max="267" width="11.44140625" customWidth="1"/>
  </cols>
  <sheetData>
    <row r="1" spans="1:23" ht="27.6" customHeight="1" x14ac:dyDescent="0.25">
      <c r="A1" t="s">
        <v>226</v>
      </c>
      <c r="B1" t="s">
        <v>221</v>
      </c>
      <c r="D1" s="25" t="s">
        <v>222</v>
      </c>
      <c r="F1" s="25" t="s">
        <v>231</v>
      </c>
      <c r="H1" s="25" t="s">
        <v>213</v>
      </c>
      <c r="J1" t="s">
        <v>202</v>
      </c>
      <c r="L1" s="25" t="s">
        <v>235</v>
      </c>
      <c r="N1" t="s">
        <v>201</v>
      </c>
      <c r="O1" s="25" t="s">
        <v>203</v>
      </c>
      <c r="P1" s="25" t="s">
        <v>200</v>
      </c>
      <c r="R1" s="25" t="s">
        <v>204</v>
      </c>
      <c r="T1" s="25" t="s">
        <v>228</v>
      </c>
      <c r="V1" s="25" t="s">
        <v>239</v>
      </c>
    </row>
    <row r="2" spans="1:23" x14ac:dyDescent="0.25">
      <c r="B2" s="21" t="s">
        <v>220</v>
      </c>
      <c r="C2" s="21"/>
      <c r="D2" s="21" t="s">
        <v>227</v>
      </c>
      <c r="E2" s="21"/>
      <c r="F2" s="21" t="s">
        <v>229</v>
      </c>
      <c r="G2" s="21"/>
      <c r="H2" s="21" t="s">
        <v>193</v>
      </c>
      <c r="I2" s="21"/>
      <c r="J2" s="21" t="s">
        <v>194</v>
      </c>
      <c r="K2" s="21"/>
      <c r="L2" s="21" t="s">
        <v>199</v>
      </c>
      <c r="M2" s="21"/>
      <c r="N2" s="21" t="s">
        <v>181</v>
      </c>
      <c r="O2" s="21" t="s">
        <v>182</v>
      </c>
      <c r="P2" s="21" t="s">
        <v>180</v>
      </c>
      <c r="Q2" s="21"/>
      <c r="R2" s="21" t="s">
        <v>183</v>
      </c>
      <c r="S2" s="21"/>
      <c r="T2" s="21" t="s">
        <v>192</v>
      </c>
      <c r="U2" s="21"/>
      <c r="V2" s="21" t="s">
        <v>184</v>
      </c>
    </row>
    <row r="3" spans="1:23" x14ac:dyDescent="0.25">
      <c r="B3" s="22" t="s">
        <v>127</v>
      </c>
      <c r="C3" s="22" t="s">
        <v>209</v>
      </c>
      <c r="D3" s="22" t="s">
        <v>159</v>
      </c>
      <c r="E3" s="22" t="s">
        <v>223</v>
      </c>
      <c r="F3" s="22" t="s">
        <v>230</v>
      </c>
      <c r="G3" s="22" t="s">
        <v>230</v>
      </c>
      <c r="H3" t="s">
        <v>119</v>
      </c>
      <c r="I3" t="s">
        <v>205</v>
      </c>
      <c r="J3" s="22" t="s">
        <v>195</v>
      </c>
      <c r="K3" s="22" t="s">
        <v>214</v>
      </c>
      <c r="L3" s="22" t="s">
        <v>167</v>
      </c>
      <c r="M3" s="22" t="s">
        <v>236</v>
      </c>
      <c r="N3" t="s">
        <v>173</v>
      </c>
      <c r="O3" t="s">
        <v>141</v>
      </c>
      <c r="P3" t="s">
        <v>143</v>
      </c>
      <c r="Q3" t="s">
        <v>208</v>
      </c>
      <c r="R3" t="s">
        <v>170</v>
      </c>
      <c r="S3" t="s">
        <v>217</v>
      </c>
      <c r="T3" t="s">
        <v>146</v>
      </c>
      <c r="U3" t="s">
        <v>217</v>
      </c>
      <c r="V3" t="s">
        <v>177</v>
      </c>
      <c r="W3" t="s">
        <v>218</v>
      </c>
    </row>
    <row r="4" spans="1:23" x14ac:dyDescent="0.25">
      <c r="B4" s="22" t="s">
        <v>187</v>
      </c>
      <c r="C4" s="22" t="s">
        <v>211</v>
      </c>
      <c r="D4" s="22" t="s">
        <v>190</v>
      </c>
      <c r="E4" s="22" t="s">
        <v>224</v>
      </c>
      <c r="F4" s="22" t="s">
        <v>115</v>
      </c>
      <c r="G4" s="22" t="s">
        <v>233</v>
      </c>
      <c r="H4" t="s">
        <v>160</v>
      </c>
      <c r="I4" t="s">
        <v>206</v>
      </c>
      <c r="J4" s="22" t="s">
        <v>196</v>
      </c>
      <c r="K4" s="22" t="s">
        <v>215</v>
      </c>
      <c r="L4" s="22" t="s">
        <v>166</v>
      </c>
      <c r="M4" s="22" t="s">
        <v>237</v>
      </c>
      <c r="N4" t="s">
        <v>174</v>
      </c>
      <c r="P4" t="s">
        <v>119</v>
      </c>
      <c r="Q4" t="s">
        <v>205</v>
      </c>
      <c r="R4" t="s">
        <v>171</v>
      </c>
      <c r="T4" t="s">
        <v>185</v>
      </c>
      <c r="V4" t="s">
        <v>119</v>
      </c>
      <c r="W4" t="s">
        <v>205</v>
      </c>
    </row>
    <row r="5" spans="1:23" x14ac:dyDescent="0.25">
      <c r="B5" s="22" t="s">
        <v>189</v>
      </c>
      <c r="C5" s="22" t="s">
        <v>212</v>
      </c>
      <c r="D5" s="22" t="s">
        <v>191</v>
      </c>
      <c r="E5" s="22" t="s">
        <v>225</v>
      </c>
      <c r="F5" s="22" t="s">
        <v>232</v>
      </c>
      <c r="G5" s="22" t="s">
        <v>234</v>
      </c>
      <c r="H5" t="s">
        <v>176</v>
      </c>
      <c r="I5" t="s">
        <v>207</v>
      </c>
      <c r="J5" s="22" t="s">
        <v>197</v>
      </c>
      <c r="K5" s="22" t="s">
        <v>216</v>
      </c>
      <c r="L5" s="22" t="s">
        <v>198</v>
      </c>
      <c r="M5" s="22" t="s">
        <v>238</v>
      </c>
      <c r="N5" t="s">
        <v>175</v>
      </c>
      <c r="P5" t="s">
        <v>160</v>
      </c>
      <c r="Q5" t="s">
        <v>206</v>
      </c>
      <c r="R5" t="s">
        <v>172</v>
      </c>
      <c r="T5" t="s">
        <v>185</v>
      </c>
      <c r="V5" t="s">
        <v>160</v>
      </c>
      <c r="W5" t="s">
        <v>206</v>
      </c>
    </row>
    <row r="6" spans="1:23" x14ac:dyDescent="0.25">
      <c r="B6" s="22" t="s">
        <v>188</v>
      </c>
      <c r="C6" s="22" t="s">
        <v>210</v>
      </c>
      <c r="D6" s="22"/>
      <c r="E6" s="22"/>
      <c r="F6" s="22"/>
      <c r="G6" s="22"/>
      <c r="H6" s="22"/>
      <c r="I6" s="22"/>
      <c r="P6" t="s">
        <v>176</v>
      </c>
      <c r="Q6" t="s">
        <v>207</v>
      </c>
      <c r="T6" t="s">
        <v>186</v>
      </c>
      <c r="V6" t="s">
        <v>176</v>
      </c>
      <c r="W6" t="s">
        <v>207</v>
      </c>
    </row>
    <row r="7" spans="1:23" x14ac:dyDescent="0.25">
      <c r="D7" s="22"/>
      <c r="E7" s="22"/>
      <c r="F7" s="22"/>
      <c r="G7" s="22"/>
      <c r="H7" s="22"/>
      <c r="I7" s="22"/>
      <c r="V7" t="s">
        <v>178</v>
      </c>
      <c r="W7" t="s">
        <v>178</v>
      </c>
    </row>
    <row r="8" spans="1:23" x14ac:dyDescent="0.25">
      <c r="V8" t="s">
        <v>179</v>
      </c>
      <c r="W8" t="s">
        <v>219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</vt:i4>
      </vt:variant>
    </vt:vector>
  </HeadingPairs>
  <TitlesOfParts>
    <vt:vector size="7" baseType="lpstr">
      <vt:lpstr>Berechnung Preise</vt:lpstr>
      <vt:lpstr>Komponente Innenschrank</vt:lpstr>
      <vt:lpstr>Komponente Schrank </vt:lpstr>
      <vt:lpstr>1 Schrank Bestellung</vt:lpstr>
      <vt:lpstr>mat</vt:lpstr>
      <vt:lpstr>Schubladenart</vt:lpstr>
      <vt:lpstr>Zubehör</vt:lpstr>
    </vt:vector>
  </TitlesOfParts>
  <Manager/>
  <Company>Schreinerei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Linda</cp:lastModifiedBy>
  <cp:revision/>
  <dcterms:created xsi:type="dcterms:W3CDTF">2007-04-01T16:23:40Z</dcterms:created>
  <dcterms:modified xsi:type="dcterms:W3CDTF">2017-12-31T17:45:29Z</dcterms:modified>
  <cp:category/>
  <cp:contentStatus/>
</cp:coreProperties>
</file>